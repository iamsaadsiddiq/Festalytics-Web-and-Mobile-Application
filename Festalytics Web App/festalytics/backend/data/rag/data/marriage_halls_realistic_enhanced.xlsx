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Downloads\"/>
    </mc:Choice>
  </mc:AlternateContent>
  <bookViews>
    <workbookView xWindow="0" yWindow="0" windowWidth="8445" windowHeight="4455"/>
  </bookViews>
  <sheets>
    <sheet name="Cleaned_Data" sheetId="1" r:id="rId1"/>
    <sheet name="Quality_Report" sheetId="2" r:id="rId2"/>
    <sheet name="Data_Dictionary" sheetId="3" r:id="rId3"/>
    <sheet name="Change_Log" sheetId="5" r:id="rId4"/>
  </sheets>
  <calcPr calcId="162913"/>
</workbook>
</file>

<file path=xl/calcChain.xml><?xml version="1.0" encoding="utf-8"?>
<calcChain xmlns="http://schemas.openxmlformats.org/spreadsheetml/2006/main">
  <c r="AI274" i="1" l="1"/>
  <c r="AC274" i="1"/>
  <c r="AB274" i="1"/>
  <c r="AI273" i="1"/>
  <c r="AC273" i="1"/>
  <c r="AB273" i="1"/>
  <c r="AI272" i="1"/>
  <c r="AC272" i="1"/>
  <c r="AB272" i="1"/>
  <c r="AI271" i="1"/>
  <c r="AC271" i="1"/>
  <c r="AB271" i="1"/>
  <c r="AI270" i="1"/>
  <c r="AC270" i="1"/>
  <c r="AB270" i="1"/>
  <c r="AI269" i="1"/>
  <c r="AC269" i="1"/>
  <c r="AB269" i="1"/>
  <c r="AI268" i="1"/>
  <c r="AC268" i="1"/>
  <c r="AB268" i="1"/>
  <c r="AI267" i="1"/>
  <c r="AC267" i="1"/>
  <c r="AB267" i="1"/>
  <c r="AI266" i="1"/>
  <c r="AC266" i="1"/>
  <c r="AB266" i="1"/>
  <c r="AI265" i="1"/>
  <c r="AC265" i="1"/>
  <c r="AB265" i="1"/>
  <c r="AI264" i="1"/>
  <c r="AC264" i="1"/>
  <c r="AB264" i="1"/>
  <c r="AI263" i="1"/>
  <c r="AC263" i="1"/>
  <c r="AB263" i="1"/>
  <c r="AI262" i="1"/>
  <c r="AC262" i="1"/>
  <c r="AB262" i="1"/>
  <c r="AI261" i="1"/>
  <c r="AC261" i="1"/>
  <c r="AB261" i="1"/>
  <c r="AI260" i="1"/>
  <c r="AC260" i="1"/>
  <c r="AB260" i="1"/>
  <c r="AI259" i="1"/>
  <c r="AC259" i="1"/>
  <c r="AB259" i="1"/>
  <c r="AI258" i="1"/>
  <c r="AC258" i="1"/>
  <c r="AB258" i="1"/>
  <c r="AI257" i="1"/>
  <c r="AC257" i="1"/>
  <c r="AB257" i="1"/>
  <c r="AI256" i="1"/>
  <c r="AC256" i="1"/>
  <c r="AB256" i="1"/>
  <c r="AI255" i="1"/>
  <c r="AC255" i="1"/>
  <c r="AB255" i="1"/>
  <c r="AI254" i="1"/>
  <c r="AC254" i="1"/>
  <c r="AB254" i="1"/>
  <c r="AI253" i="1"/>
  <c r="AC253" i="1"/>
  <c r="AB253" i="1"/>
  <c r="AI252" i="1"/>
  <c r="AC252" i="1"/>
  <c r="AB252" i="1"/>
  <c r="AI251" i="1"/>
  <c r="AC251" i="1"/>
  <c r="AB251" i="1"/>
  <c r="AI250" i="1"/>
  <c r="AC250" i="1"/>
  <c r="AB250" i="1"/>
  <c r="AI249" i="1"/>
  <c r="AC249" i="1"/>
  <c r="AB249" i="1"/>
  <c r="AI248" i="1"/>
  <c r="AC248" i="1"/>
  <c r="AB248" i="1"/>
  <c r="AI247" i="1"/>
  <c r="AC247" i="1"/>
  <c r="AB247" i="1"/>
  <c r="AI246" i="1"/>
  <c r="AC246" i="1"/>
  <c r="AB246" i="1"/>
  <c r="AI245" i="1"/>
  <c r="AC245" i="1"/>
  <c r="AB245" i="1"/>
  <c r="AI244" i="1"/>
  <c r="AC244" i="1"/>
  <c r="AB244" i="1"/>
  <c r="AI243" i="1"/>
  <c r="AC243" i="1"/>
  <c r="AB243" i="1"/>
  <c r="AI242" i="1"/>
  <c r="AC242" i="1"/>
  <c r="AB242" i="1"/>
  <c r="AI241" i="1"/>
  <c r="AC241" i="1"/>
  <c r="AB241" i="1"/>
  <c r="AI240" i="1"/>
  <c r="AC240" i="1"/>
  <c r="AB240" i="1"/>
  <c r="AI239" i="1"/>
  <c r="AC239" i="1"/>
  <c r="AB239" i="1"/>
  <c r="AI238" i="1"/>
  <c r="AC238" i="1"/>
  <c r="AB238" i="1"/>
  <c r="AI237" i="1"/>
  <c r="AC237" i="1"/>
  <c r="AB237" i="1"/>
  <c r="AI236" i="1"/>
  <c r="AC236" i="1"/>
  <c r="AB236" i="1"/>
  <c r="AI235" i="1"/>
  <c r="AC235" i="1"/>
  <c r="AB235" i="1"/>
  <c r="AI234" i="1"/>
  <c r="AC234" i="1"/>
  <c r="AB234" i="1"/>
  <c r="AI233" i="1"/>
  <c r="AC233" i="1"/>
  <c r="AB233" i="1"/>
  <c r="AI232" i="1"/>
  <c r="AC232" i="1"/>
  <c r="AB232" i="1"/>
  <c r="AI231" i="1"/>
  <c r="AC231" i="1"/>
  <c r="AB231" i="1"/>
  <c r="AI230" i="1"/>
  <c r="AC230" i="1"/>
  <c r="AB230" i="1"/>
  <c r="AI229" i="1"/>
  <c r="AC229" i="1"/>
  <c r="AB229" i="1"/>
  <c r="AI228" i="1"/>
  <c r="AC228" i="1"/>
  <c r="AB228" i="1"/>
  <c r="AI227" i="1"/>
  <c r="AC227" i="1"/>
  <c r="AB227" i="1"/>
  <c r="AI226" i="1"/>
  <c r="AC226" i="1"/>
  <c r="AB226" i="1"/>
  <c r="AI225" i="1"/>
  <c r="AC225" i="1"/>
  <c r="AB225" i="1"/>
  <c r="AI224" i="1"/>
  <c r="AC224" i="1"/>
  <c r="AB224" i="1"/>
  <c r="AI223" i="1"/>
  <c r="AC223" i="1"/>
  <c r="AB223" i="1"/>
  <c r="AI222" i="1"/>
  <c r="AC222" i="1"/>
  <c r="AB222" i="1"/>
  <c r="AI221" i="1"/>
  <c r="AC221" i="1"/>
  <c r="AB221" i="1"/>
  <c r="AI220" i="1"/>
  <c r="AC220" i="1"/>
  <c r="AB220" i="1"/>
  <c r="AI219" i="1"/>
  <c r="AC219" i="1"/>
  <c r="AB219" i="1"/>
  <c r="AI218" i="1"/>
  <c r="AC218" i="1"/>
  <c r="AB218" i="1"/>
  <c r="AI217" i="1"/>
  <c r="AC217" i="1"/>
  <c r="AB217" i="1"/>
  <c r="AI216" i="1"/>
  <c r="AC216" i="1"/>
  <c r="AB216" i="1"/>
  <c r="AI215" i="1"/>
  <c r="AC215" i="1"/>
  <c r="AB215" i="1"/>
  <c r="AI214" i="1"/>
  <c r="AC214" i="1"/>
  <c r="AB214" i="1"/>
  <c r="AI213" i="1"/>
  <c r="AC213" i="1"/>
  <c r="AB213" i="1"/>
  <c r="AI212" i="1"/>
  <c r="AC212" i="1"/>
  <c r="AB212" i="1"/>
  <c r="AI211" i="1"/>
  <c r="AC211" i="1"/>
  <c r="AB211" i="1"/>
  <c r="AI210" i="1"/>
  <c r="AC210" i="1"/>
  <c r="AB210" i="1"/>
  <c r="AI209" i="1"/>
  <c r="AC209" i="1"/>
  <c r="AB209" i="1"/>
  <c r="AI208" i="1"/>
  <c r="AC208" i="1"/>
  <c r="AB208" i="1"/>
  <c r="AI207" i="1"/>
  <c r="AC207" i="1"/>
  <c r="AB207" i="1"/>
  <c r="AI206" i="1"/>
  <c r="AC206" i="1"/>
  <c r="AB206" i="1"/>
  <c r="AI205" i="1"/>
  <c r="AC205" i="1"/>
  <c r="AB205" i="1"/>
  <c r="AI204" i="1"/>
  <c r="AC204" i="1"/>
  <c r="AB204" i="1"/>
  <c r="AI203" i="1"/>
  <c r="AC203" i="1"/>
  <c r="AB203" i="1"/>
  <c r="AI202" i="1"/>
  <c r="AC202" i="1"/>
  <c r="AB202" i="1"/>
  <c r="AI201" i="1"/>
  <c r="AC201" i="1"/>
  <c r="AB201" i="1"/>
  <c r="AI200" i="1"/>
  <c r="AC200" i="1"/>
  <c r="AB200" i="1"/>
  <c r="AI199" i="1"/>
  <c r="AC199" i="1"/>
  <c r="AB199" i="1"/>
  <c r="AI198" i="1"/>
  <c r="AC198" i="1"/>
  <c r="AB198" i="1"/>
  <c r="AI197" i="1"/>
  <c r="AC197" i="1"/>
  <c r="AB197" i="1"/>
  <c r="AI196" i="1"/>
  <c r="AC196" i="1"/>
  <c r="AB196" i="1"/>
  <c r="AI195" i="1"/>
  <c r="AC195" i="1"/>
  <c r="AB195" i="1"/>
  <c r="AI194" i="1"/>
  <c r="AC194" i="1"/>
  <c r="AB194" i="1"/>
  <c r="AI193" i="1"/>
  <c r="AC193" i="1"/>
  <c r="AB193" i="1"/>
  <c r="AI192" i="1"/>
  <c r="AC192" i="1"/>
  <c r="AB192" i="1"/>
  <c r="AI191" i="1"/>
  <c r="AC191" i="1"/>
  <c r="AB191" i="1"/>
  <c r="AI190" i="1"/>
  <c r="AC190" i="1"/>
  <c r="AB190" i="1"/>
  <c r="AI189" i="1"/>
  <c r="AC189" i="1"/>
  <c r="AB189" i="1"/>
  <c r="AI188" i="1"/>
  <c r="AC188" i="1"/>
  <c r="AB188" i="1"/>
  <c r="AI187" i="1"/>
  <c r="AC187" i="1"/>
  <c r="AB187" i="1"/>
  <c r="AI186" i="1"/>
  <c r="AC186" i="1"/>
  <c r="AB186" i="1"/>
  <c r="AI185" i="1"/>
  <c r="AC185" i="1"/>
  <c r="AB185" i="1"/>
  <c r="AI184" i="1"/>
  <c r="AC184" i="1"/>
  <c r="AB184" i="1"/>
  <c r="AI183" i="1"/>
  <c r="AC183" i="1"/>
  <c r="AB183" i="1"/>
  <c r="AI182" i="1"/>
  <c r="AC182" i="1"/>
  <c r="AB182" i="1"/>
  <c r="AI181" i="1"/>
  <c r="AC181" i="1"/>
  <c r="AB181" i="1"/>
  <c r="AI180" i="1"/>
  <c r="AC180" i="1"/>
  <c r="AB180" i="1"/>
  <c r="AI179" i="1"/>
  <c r="AC179" i="1"/>
  <c r="AB179" i="1"/>
  <c r="AI178" i="1"/>
  <c r="AC178" i="1"/>
  <c r="AB178" i="1"/>
  <c r="AI177" i="1"/>
  <c r="AC177" i="1"/>
  <c r="AB177" i="1"/>
  <c r="AI176" i="1"/>
  <c r="AC176" i="1"/>
  <c r="AB176" i="1"/>
  <c r="AI175" i="1"/>
  <c r="AC175" i="1"/>
  <c r="AB175" i="1"/>
  <c r="AI174" i="1"/>
  <c r="AC174" i="1"/>
  <c r="AB174" i="1"/>
  <c r="AI173" i="1"/>
  <c r="AC173" i="1"/>
  <c r="AB173" i="1"/>
  <c r="AI172" i="1"/>
  <c r="AC172" i="1"/>
  <c r="AB172" i="1"/>
  <c r="AI171" i="1"/>
  <c r="AC171" i="1"/>
  <c r="AB171" i="1"/>
  <c r="AI170" i="1"/>
  <c r="AC170" i="1"/>
  <c r="AB170" i="1"/>
  <c r="AI169" i="1"/>
  <c r="AC169" i="1"/>
  <c r="AB169" i="1"/>
  <c r="AI168" i="1"/>
  <c r="AC168" i="1"/>
  <c r="AB168" i="1"/>
  <c r="AI167" i="1"/>
  <c r="AC167" i="1"/>
  <c r="AB167" i="1"/>
  <c r="AI166" i="1"/>
  <c r="AC166" i="1"/>
  <c r="AB166" i="1"/>
  <c r="AI165" i="1"/>
  <c r="AC165" i="1"/>
  <c r="AB165" i="1"/>
  <c r="AI164" i="1"/>
  <c r="AC164" i="1"/>
  <c r="AB164" i="1"/>
  <c r="AI163" i="1"/>
  <c r="AC163" i="1"/>
  <c r="AB163" i="1"/>
  <c r="AI162" i="1"/>
  <c r="AC162" i="1"/>
  <c r="AB162" i="1"/>
  <c r="AI161" i="1"/>
  <c r="AC161" i="1"/>
  <c r="AB161" i="1"/>
  <c r="AI160" i="1"/>
  <c r="AC160" i="1"/>
  <c r="AB160" i="1"/>
  <c r="AI159" i="1"/>
  <c r="AC159" i="1"/>
  <c r="AB159" i="1"/>
  <c r="AI158" i="1"/>
  <c r="AC158" i="1"/>
  <c r="AB158" i="1"/>
  <c r="AI157" i="1"/>
  <c r="AC157" i="1"/>
  <c r="AB157" i="1"/>
  <c r="AI156" i="1"/>
  <c r="AC156" i="1"/>
  <c r="AB156" i="1"/>
  <c r="AI155" i="1"/>
  <c r="AC155" i="1"/>
  <c r="AB155" i="1"/>
  <c r="AI154" i="1"/>
  <c r="AC154" i="1"/>
  <c r="AB154" i="1"/>
  <c r="AI153" i="1"/>
  <c r="AC153" i="1"/>
  <c r="AB153" i="1"/>
  <c r="AI152" i="1"/>
  <c r="AC152" i="1"/>
  <c r="AB152" i="1"/>
  <c r="AI151" i="1"/>
  <c r="AC151" i="1"/>
  <c r="AB151" i="1"/>
  <c r="AI150" i="1"/>
  <c r="AC150" i="1"/>
  <c r="AB150" i="1"/>
  <c r="AI149" i="1"/>
  <c r="AC149" i="1"/>
  <c r="AB149" i="1"/>
  <c r="AI148" i="1"/>
  <c r="AC148" i="1"/>
  <c r="AB148" i="1"/>
  <c r="AI147" i="1"/>
  <c r="AC147" i="1"/>
  <c r="AB147" i="1"/>
  <c r="AI146" i="1"/>
  <c r="AC146" i="1"/>
  <c r="AB146" i="1"/>
  <c r="AI145" i="1"/>
  <c r="AC145" i="1"/>
  <c r="AB145" i="1"/>
  <c r="AI144" i="1"/>
  <c r="AC144" i="1"/>
  <c r="AB144" i="1"/>
  <c r="AI143" i="1"/>
  <c r="AC143" i="1"/>
  <c r="AB143" i="1"/>
  <c r="AI142" i="1"/>
  <c r="AC142" i="1"/>
  <c r="AB142" i="1"/>
  <c r="AI141" i="1"/>
  <c r="AC141" i="1"/>
  <c r="AB141" i="1"/>
  <c r="AI140" i="1"/>
  <c r="AC140" i="1"/>
  <c r="AB140" i="1"/>
  <c r="AI139" i="1"/>
  <c r="AC139" i="1"/>
  <c r="AB139" i="1"/>
  <c r="AI138" i="1"/>
  <c r="AC138" i="1"/>
  <c r="AB138" i="1"/>
  <c r="AI137" i="1"/>
  <c r="AC137" i="1"/>
  <c r="AB137" i="1"/>
  <c r="AI136" i="1"/>
  <c r="AC136" i="1"/>
  <c r="AB136" i="1"/>
  <c r="AI135" i="1"/>
  <c r="AC135" i="1"/>
  <c r="AB135" i="1"/>
  <c r="AI134" i="1"/>
  <c r="AC134" i="1"/>
  <c r="AB134" i="1"/>
  <c r="AI133" i="1"/>
  <c r="AC133" i="1"/>
  <c r="AB133" i="1"/>
  <c r="AI132" i="1"/>
  <c r="AC132" i="1"/>
  <c r="AB132" i="1"/>
  <c r="AI131" i="1"/>
  <c r="AC131" i="1"/>
  <c r="AB131" i="1"/>
  <c r="AI130" i="1"/>
  <c r="AC130" i="1"/>
  <c r="AB130" i="1"/>
  <c r="AI129" i="1"/>
  <c r="AC129" i="1"/>
  <c r="AB129" i="1"/>
  <c r="AI128" i="1"/>
  <c r="AC128" i="1"/>
  <c r="AB128" i="1"/>
  <c r="AI127" i="1"/>
  <c r="AC127" i="1"/>
  <c r="AB127" i="1"/>
  <c r="AI126" i="1"/>
  <c r="AC126" i="1"/>
  <c r="AB126" i="1"/>
  <c r="AI125" i="1"/>
  <c r="AC125" i="1"/>
  <c r="AB125" i="1"/>
  <c r="AI124" i="1"/>
  <c r="AC124" i="1"/>
  <c r="AB124" i="1"/>
  <c r="AI123" i="1"/>
  <c r="AC123" i="1"/>
  <c r="AB123" i="1"/>
  <c r="AI122" i="1"/>
  <c r="AC122" i="1"/>
  <c r="AB122" i="1"/>
  <c r="AI121" i="1"/>
  <c r="AC121" i="1"/>
  <c r="AB121" i="1"/>
  <c r="AI120" i="1"/>
  <c r="AC120" i="1"/>
  <c r="AB120" i="1"/>
  <c r="AI119" i="1"/>
  <c r="AC119" i="1"/>
  <c r="AB119" i="1"/>
  <c r="AI118" i="1"/>
  <c r="AC118" i="1"/>
  <c r="AB118" i="1"/>
  <c r="AI117" i="1"/>
  <c r="AC117" i="1"/>
  <c r="AB117" i="1"/>
  <c r="AI116" i="1"/>
  <c r="AC116" i="1"/>
  <c r="AB116" i="1"/>
  <c r="AI115" i="1"/>
  <c r="AC115" i="1"/>
  <c r="AB115" i="1"/>
  <c r="AI114" i="1"/>
  <c r="AC114" i="1"/>
  <c r="AB114" i="1"/>
  <c r="AI113" i="1"/>
  <c r="AC113" i="1"/>
  <c r="AB113" i="1"/>
  <c r="AI112" i="1"/>
  <c r="AC112" i="1"/>
  <c r="AB112" i="1"/>
  <c r="AI111" i="1"/>
  <c r="AC111" i="1"/>
  <c r="AB111" i="1"/>
  <c r="AI110" i="1"/>
  <c r="AC110" i="1"/>
  <c r="AB110" i="1"/>
  <c r="AI109" i="1"/>
  <c r="AC109" i="1"/>
  <c r="AB109" i="1"/>
  <c r="AI108" i="1"/>
  <c r="AC108" i="1"/>
  <c r="AB108" i="1"/>
  <c r="AI107" i="1"/>
  <c r="AC107" i="1"/>
  <c r="AB107" i="1"/>
  <c r="AI106" i="1"/>
  <c r="AC106" i="1"/>
  <c r="AB106" i="1"/>
  <c r="AI105" i="1"/>
  <c r="AC105" i="1"/>
  <c r="AB105" i="1"/>
  <c r="AI104" i="1"/>
  <c r="AC104" i="1"/>
  <c r="AB104" i="1"/>
  <c r="AI103" i="1"/>
  <c r="AC103" i="1"/>
  <c r="AB103" i="1"/>
  <c r="AI102" i="1"/>
  <c r="AC102" i="1"/>
  <c r="AB102" i="1"/>
  <c r="AI101" i="1"/>
  <c r="AC101" i="1"/>
  <c r="AB101" i="1"/>
  <c r="AI100" i="1"/>
  <c r="AC100" i="1"/>
  <c r="AB100" i="1"/>
  <c r="AI99" i="1"/>
  <c r="AC99" i="1"/>
  <c r="AB99" i="1"/>
  <c r="AI98" i="1"/>
  <c r="AC98" i="1"/>
  <c r="AB98" i="1"/>
  <c r="AI97" i="1"/>
  <c r="AC97" i="1"/>
  <c r="AB97" i="1"/>
  <c r="AI96" i="1"/>
  <c r="AC96" i="1"/>
  <c r="AB96" i="1"/>
  <c r="AI95" i="1"/>
  <c r="AC95" i="1"/>
  <c r="AB95" i="1"/>
  <c r="AI94" i="1"/>
  <c r="AC94" i="1"/>
  <c r="AB94" i="1"/>
  <c r="AI93" i="1"/>
  <c r="AC93" i="1"/>
  <c r="AB93" i="1"/>
  <c r="AI92" i="1"/>
  <c r="AC92" i="1"/>
  <c r="AB92" i="1"/>
  <c r="AI91" i="1"/>
  <c r="AC91" i="1"/>
  <c r="AB91" i="1"/>
  <c r="AI90" i="1"/>
  <c r="AC90" i="1"/>
  <c r="AB90" i="1"/>
  <c r="AI89" i="1"/>
  <c r="AC89" i="1"/>
  <c r="AB89" i="1"/>
  <c r="AI88" i="1"/>
  <c r="AC88" i="1"/>
  <c r="AB88" i="1"/>
  <c r="AI87" i="1"/>
  <c r="AC87" i="1"/>
  <c r="AB87" i="1"/>
  <c r="AI86" i="1"/>
  <c r="AC86" i="1"/>
  <c r="AB86" i="1"/>
  <c r="AI85" i="1"/>
  <c r="AC85" i="1"/>
  <c r="AB85" i="1"/>
  <c r="AI84" i="1"/>
  <c r="AC84" i="1"/>
  <c r="AB84" i="1"/>
  <c r="AI83" i="1"/>
  <c r="AC83" i="1"/>
  <c r="AB83" i="1"/>
  <c r="AI82" i="1"/>
  <c r="AC82" i="1"/>
  <c r="AB82" i="1"/>
  <c r="AI81" i="1"/>
  <c r="AC81" i="1"/>
  <c r="AB81" i="1"/>
  <c r="AI80" i="1"/>
  <c r="AC80" i="1"/>
  <c r="AB80" i="1"/>
  <c r="AI79" i="1"/>
  <c r="AC79" i="1"/>
  <c r="AB79" i="1"/>
  <c r="AI78" i="1"/>
  <c r="AC78" i="1"/>
  <c r="AB78" i="1"/>
  <c r="AI77" i="1"/>
  <c r="AC77" i="1"/>
  <c r="AB77" i="1"/>
  <c r="AI76" i="1"/>
  <c r="AC76" i="1"/>
  <c r="AB76" i="1"/>
  <c r="AI75" i="1"/>
  <c r="AC75" i="1"/>
  <c r="AB75" i="1"/>
  <c r="AI74" i="1"/>
  <c r="AC74" i="1"/>
  <c r="AB74" i="1"/>
  <c r="AI73" i="1"/>
  <c r="AC73" i="1"/>
  <c r="AB73" i="1"/>
  <c r="AI72" i="1"/>
  <c r="AC72" i="1"/>
  <c r="AB72" i="1"/>
  <c r="AI71" i="1"/>
  <c r="AC71" i="1"/>
  <c r="AB71" i="1"/>
  <c r="AI70" i="1"/>
  <c r="AC70" i="1"/>
  <c r="AB70" i="1"/>
  <c r="AI69" i="1"/>
  <c r="AC69" i="1"/>
  <c r="AB69" i="1"/>
  <c r="AI68" i="1"/>
  <c r="AC68" i="1"/>
  <c r="AB68" i="1"/>
  <c r="AI67" i="1"/>
  <c r="AC67" i="1"/>
  <c r="AB67" i="1"/>
  <c r="AI66" i="1"/>
  <c r="AC66" i="1"/>
  <c r="AB66" i="1"/>
  <c r="AI65" i="1"/>
  <c r="AC65" i="1"/>
  <c r="AB65" i="1"/>
  <c r="AI64" i="1"/>
  <c r="AC64" i="1"/>
  <c r="AB64" i="1"/>
  <c r="AI63" i="1"/>
  <c r="AC63" i="1"/>
  <c r="AB63" i="1"/>
  <c r="AI62" i="1"/>
  <c r="AC62" i="1"/>
  <c r="AB62" i="1"/>
  <c r="AI61" i="1"/>
  <c r="AC61" i="1"/>
  <c r="AB61" i="1"/>
  <c r="AI60" i="1"/>
  <c r="AC60" i="1"/>
  <c r="AB60" i="1"/>
  <c r="AI59" i="1"/>
  <c r="AC59" i="1"/>
  <c r="AB59" i="1"/>
  <c r="AI58" i="1"/>
  <c r="AC58" i="1"/>
  <c r="AB58" i="1"/>
  <c r="AI57" i="1"/>
  <c r="AC57" i="1"/>
  <c r="AB57" i="1"/>
  <c r="AI56" i="1"/>
  <c r="AC56" i="1"/>
  <c r="AB56" i="1"/>
  <c r="AI55" i="1"/>
  <c r="AC55" i="1"/>
  <c r="AB55" i="1"/>
  <c r="AI54" i="1"/>
  <c r="AC54" i="1"/>
  <c r="AB54" i="1"/>
  <c r="AI53" i="1"/>
  <c r="AC53" i="1"/>
  <c r="AB53" i="1"/>
  <c r="AI52" i="1"/>
  <c r="AC52" i="1"/>
  <c r="AB52" i="1"/>
  <c r="AI51" i="1"/>
  <c r="AC51" i="1"/>
  <c r="AB51" i="1"/>
  <c r="AI50" i="1"/>
  <c r="AC50" i="1"/>
  <c r="AB50" i="1"/>
  <c r="AI49" i="1"/>
  <c r="AC49" i="1"/>
  <c r="AB49" i="1"/>
  <c r="AI48" i="1"/>
  <c r="AC48" i="1"/>
  <c r="AB48" i="1"/>
  <c r="AI47" i="1"/>
  <c r="AC47" i="1"/>
  <c r="AB47" i="1"/>
  <c r="AI46" i="1"/>
  <c r="AC46" i="1"/>
  <c r="AB46" i="1"/>
  <c r="AI45" i="1"/>
  <c r="AC45" i="1"/>
  <c r="AB45" i="1"/>
  <c r="AI44" i="1"/>
  <c r="AC44" i="1"/>
  <c r="AB44" i="1"/>
  <c r="AI43" i="1"/>
  <c r="AC43" i="1"/>
  <c r="AB43" i="1"/>
  <c r="AI42" i="1"/>
  <c r="AC42" i="1"/>
  <c r="AB42" i="1"/>
  <c r="AI41" i="1"/>
  <c r="AC41" i="1"/>
  <c r="AB41" i="1"/>
  <c r="AI40" i="1"/>
  <c r="AC40" i="1"/>
  <c r="AB40" i="1"/>
  <c r="AI39" i="1"/>
  <c r="AC39" i="1"/>
  <c r="AB39" i="1"/>
  <c r="AI38" i="1"/>
  <c r="AC38" i="1"/>
  <c r="AB38" i="1"/>
  <c r="AI37" i="1"/>
  <c r="AC37" i="1"/>
  <c r="AB37" i="1"/>
  <c r="AI36" i="1"/>
  <c r="AC36" i="1"/>
  <c r="AB36" i="1"/>
  <c r="AI35" i="1"/>
  <c r="AC35" i="1"/>
  <c r="AB35" i="1"/>
  <c r="AI34" i="1"/>
  <c r="AC34" i="1"/>
  <c r="AB34" i="1"/>
  <c r="AI33" i="1"/>
  <c r="AC33" i="1"/>
  <c r="AB33" i="1"/>
  <c r="AI32" i="1"/>
  <c r="AC32" i="1"/>
  <c r="AB32" i="1"/>
  <c r="AI31" i="1"/>
  <c r="AC31" i="1"/>
  <c r="AB31" i="1"/>
  <c r="AI30" i="1"/>
  <c r="AC30" i="1"/>
  <c r="AB30" i="1"/>
  <c r="AI29" i="1"/>
  <c r="AC29" i="1"/>
  <c r="AB29" i="1"/>
  <c r="AI28" i="1"/>
  <c r="AC28" i="1"/>
  <c r="AB28" i="1"/>
  <c r="AI27" i="1"/>
  <c r="AC27" i="1"/>
  <c r="AB27" i="1"/>
  <c r="AI26" i="1"/>
  <c r="AC26" i="1"/>
  <c r="AB26" i="1"/>
  <c r="AI25" i="1"/>
  <c r="AC25" i="1"/>
  <c r="AB25" i="1"/>
  <c r="AI24" i="1"/>
  <c r="AC24" i="1"/>
  <c r="AB24" i="1"/>
  <c r="AI23" i="1"/>
  <c r="AC23" i="1"/>
  <c r="AB23" i="1"/>
  <c r="AI22" i="1"/>
  <c r="AC22" i="1"/>
  <c r="AB22" i="1"/>
  <c r="AI21" i="1"/>
  <c r="AC21" i="1"/>
  <c r="AB21" i="1"/>
  <c r="AI20" i="1"/>
  <c r="AC20" i="1"/>
  <c r="AB20" i="1"/>
  <c r="AI19" i="1"/>
  <c r="AC19" i="1"/>
  <c r="AB19" i="1"/>
  <c r="AI18" i="1"/>
  <c r="AC18" i="1"/>
  <c r="AB18" i="1"/>
  <c r="AI17" i="1"/>
  <c r="AC17" i="1"/>
  <c r="AB17" i="1"/>
  <c r="AI16" i="1"/>
  <c r="AC16" i="1"/>
  <c r="AB16" i="1"/>
  <c r="AI15" i="1"/>
  <c r="AC15" i="1"/>
  <c r="AB15" i="1"/>
  <c r="AI14" i="1"/>
  <c r="AC14" i="1"/>
  <c r="AB14" i="1"/>
  <c r="AI13" i="1"/>
  <c r="AC13" i="1"/>
  <c r="AB13" i="1"/>
  <c r="AI12" i="1"/>
  <c r="AC12" i="1"/>
  <c r="AB12" i="1"/>
  <c r="AI11" i="1"/>
  <c r="AC11" i="1"/>
  <c r="AB11" i="1"/>
  <c r="AI10" i="1"/>
  <c r="AC10" i="1"/>
  <c r="AB10" i="1"/>
  <c r="AI9" i="1"/>
  <c r="AC9" i="1"/>
  <c r="AB9" i="1"/>
  <c r="AI8" i="1"/>
  <c r="AC8" i="1"/>
  <c r="AB8" i="1"/>
  <c r="AI7" i="1"/>
  <c r="AC7" i="1"/>
  <c r="AB7" i="1"/>
  <c r="AI6" i="1"/>
  <c r="AC6" i="1"/>
  <c r="AB6" i="1"/>
  <c r="AI5" i="1"/>
  <c r="AC5" i="1"/>
  <c r="AB5" i="1"/>
  <c r="AI4" i="1"/>
  <c r="AC4" i="1"/>
  <c r="AB4" i="1"/>
  <c r="AI3" i="1"/>
  <c r="AC3" i="1"/>
  <c r="AB3" i="1"/>
  <c r="AI2" i="1"/>
  <c r="AC2" i="1"/>
  <c r="AB2" i="1"/>
</calcChain>
</file>

<file path=xl/sharedStrings.xml><?xml version="1.0" encoding="utf-8"?>
<sst xmlns="http://schemas.openxmlformats.org/spreadsheetml/2006/main" count="6453" uniqueCount="2352">
  <si>
    <t>hall_id</t>
  </si>
  <si>
    <t>hall_name</t>
  </si>
  <si>
    <t>category</t>
  </si>
  <si>
    <t>description</t>
  </si>
  <si>
    <t>full_address</t>
  </si>
  <si>
    <t>area</t>
  </si>
  <si>
    <t>phone_1</t>
  </si>
  <si>
    <t>phone_2</t>
  </si>
  <si>
    <t>one_dish_chicken</t>
  </si>
  <si>
    <t>one_dish_beef</t>
  </si>
  <si>
    <t>one_dish_mutton</t>
  </si>
  <si>
    <t>social_media_links</t>
  </si>
  <si>
    <t>capacity_sitting</t>
  </si>
  <si>
    <t>number_of_lawns</t>
  </si>
  <si>
    <t>number_of_banquet_halls</t>
  </si>
  <si>
    <t>is_air_conditioned</t>
  </si>
  <si>
    <t>parking_capacity</t>
  </si>
  <si>
    <t>price_range</t>
  </si>
  <si>
    <t>package_details</t>
  </si>
  <si>
    <t>decoration_in_house</t>
  </si>
  <si>
    <t>bridal_room</t>
  </si>
  <si>
    <t>generator_backup</t>
  </si>
  <si>
    <t>keywords</t>
  </si>
  <si>
    <t>last_verified</t>
  </si>
  <si>
    <t>city</t>
  </si>
  <si>
    <t>venue_type</t>
  </si>
  <si>
    <t>menu_price_tier</t>
  </si>
  <si>
    <t>weekday_discount_pct</t>
  </si>
  <si>
    <t>weekday_chicken_price</t>
  </si>
  <si>
    <t>weekend_chicken_price</t>
  </si>
  <si>
    <t>peak_season_surcharge_pct</t>
  </si>
  <si>
    <t>gst_rate_pct</t>
  </si>
  <si>
    <t>service_charge_pct</t>
  </si>
  <si>
    <t>advance_booking_pct</t>
  </si>
  <si>
    <t>minimum_guests</t>
  </si>
  <si>
    <t>estimated_bill_300_guests</t>
  </si>
  <si>
    <t>rating</t>
  </si>
  <si>
    <t>review_count</t>
  </si>
  <si>
    <t>contact_verification_status</t>
  </si>
  <si>
    <t>data_quality_note</t>
  </si>
  <si>
    <t>1</t>
  </si>
  <si>
    <t>Zaydan Banquet Hall</t>
  </si>
  <si>
    <t>Luxury, Budget Friendly, Premium</t>
  </si>
  <si>
    <t>Zaydan Banquet Hall is a premium multi-hall banquet in Marghzar, Lahore, with an estimated seated capacity of 650 guests. The venue profile includes 3 banquet halls, air-conditioning, bridal support, event staff and generator-backed operations for weddings, receptions, walima and corporate gatherings.</t>
  </si>
  <si>
    <t>Marghzar Rd, Shadiwal, Lahore</t>
  </si>
  <si>
    <t>Marghzar</t>
  </si>
  <si>
    <t>03004771488</t>
  </si>
  <si>
    <t>03104804228</t>
  </si>
  <si>
    <t>0</t>
  </si>
  <si>
    <t>3</t>
  </si>
  <si>
    <t>yes</t>
  </si>
  <si>
    <t>PKR 2,200-4,550 per person</t>
  </si>
  <si>
    <t>Premium one-dish per-person estimate: chicken PKR 2,200, beef PKR 3,050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</si>
  <si>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marghzar, luxury, premium, multi-hall banquet, realistic package, per head pricing</t>
  </si>
  <si>
    <t>2026-05-10</t>
  </si>
  <si>
    <t>Lahore</t>
  </si>
  <si>
    <t>Multi-Hall Banquet</t>
  </si>
  <si>
    <t>Premium</t>
  </si>
  <si>
    <t>original_format_retained</t>
  </si>
  <si>
    <t>Original venue identity retained; generated numeric fields recalibrated for training realism.</t>
  </si>
  <si>
    <t>2</t>
  </si>
  <si>
    <t>Qasar E Zaydan</t>
  </si>
  <si>
    <t>Luxury, Budget Friendly, Standard</t>
  </si>
  <si>
    <t>Qasar E Zaydan is a standard banquet hall in Sabzazar, Lahore, with an estimated seated capacity of 275 guests. The venue profile includes 1 banquet hall, air-conditioning, bridal support, event staff and generator-backed operations for weddings, receptions, walima and corporate gatherings.</t>
  </si>
  <si>
    <t>Plot No 295, Block B, Housing Scheme Phase 1 &amp; 2 Sabzazar Phase 1, 2, Lahore, 54000</t>
  </si>
  <si>
    <t>Sabzazar</t>
  </si>
  <si>
    <t>PKR 1,800-3,800 per person</t>
  </si>
  <si>
    <t>Standard one-dish per-person estimate: chicken PKR 1,800, beef PKR 2,550 and mutton PKR 3,800.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</si>
  <si>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sabzazar, luxury, standard, realistic package, per head pricing</t>
  </si>
  <si>
    <t>Banquet Hall</t>
  </si>
  <si>
    <t>Standard</t>
  </si>
  <si>
    <t>Le Grand Chalet Royal</t>
  </si>
  <si>
    <t>Traditional, Premium</t>
  </si>
  <si>
    <t>Le Grand Chalet Royal is a premium marquee / lawn in Johar Town, Lahore, with an estimated seated capacity of 500 guests. The venue profile includes 1 banquet hall and an outdoor lawn/marquee option, air-conditioning, bridal support, event staff and generator-backed operations for weddings, receptions, walima and corporate gatherings.</t>
  </si>
  <si>
    <t>410, Block D2 Johar Town, Lahore</t>
  </si>
  <si>
    <t>Johar Town</t>
  </si>
  <si>
    <t>03116633880</t>
  </si>
  <si>
    <t>03080342410</t>
  </si>
  <si>
    <t>PKR 2,650-4,800 per person</t>
  </si>
  <si>
    <t>Premium one-dish per-person estimate: chicken PKR 2,650, beef PKR 3,400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</si>
  <si>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golf course, luxury, elite, expensive, big capacity, gulberg, model town, wedding, shaadi, reception, walima, lahore, marriage hall, banquet hall, johar town, traditional, lawn, premium, marquee lawn, realistic package, per head pricing</t>
  </si>
  <si>
    <t>Marquee / Lawn</t>
  </si>
  <si>
    <t>4</t>
  </si>
  <si>
    <t>The Grand Marquee (GM Events)</t>
  </si>
  <si>
    <t>The Grand Marquee (GM Events) is a premium marquee / lawn in Garden Town, Lahore, with an estimated seated capacity of 675 guests. The venue profile includes 2 banquet halls and an outdoor lawn/marquee option, air-conditioning, bridal support, event staff and generator-backed operations for weddings, receptions, walima and corporate gatherings.</t>
  </si>
  <si>
    <t>12 New, Babar Block Garden Town, Lahore, 54700</t>
  </si>
  <si>
    <t>Garden Town</t>
  </si>
  <si>
    <t>03324542457</t>
  </si>
  <si>
    <t>03081665746</t>
  </si>
  <si>
    <t>PKR 2,300-5,000 per person</t>
  </si>
  <si>
    <t>Premium one-dish per-person estimate: chicken PKR 2,300, beef PKR 3,100 and mutton PKR 5,000.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</si>
  <si>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marquee, lawn, premium, marquee lawn, realistic package, per head pricing</t>
  </si>
  <si>
    <t>5</t>
  </si>
  <si>
    <t>Mughal-e-Azam Fort</t>
  </si>
  <si>
    <t>Traditional, Standard</t>
  </si>
  <si>
    <t>Mughal-e-Azam Fort is a standard multi-hall banquet in Garden Town, Lahore, with an estimated seated capacity of 500 guests. The venue profile includes 2 banquet halls, air-conditioning, bridal support, event staff and generator-backed operations for weddings, receptions, walima and corporate gatherings.</t>
  </si>
  <si>
    <t>Main Boulevard New Garden Town Opp. Mughal-e-Azam Banquet Complex Usman Block Garden Town, Lahore</t>
  </si>
  <si>
    <t>04235884053</t>
  </si>
  <si>
    <t>03351719008</t>
  </si>
  <si>
    <t>PKR 2,150-4,100 per person</t>
  </si>
  <si>
    <t>Standard one-dish per-person estimate: chicken PKR 2,150, beef PKR 2,750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</si>
  <si>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standard, multi-hall banquet, realistic package, per head pricing</t>
  </si>
  <si>
    <t>6</t>
  </si>
  <si>
    <t>Qasr-e-Jamal Banquet Hall</t>
  </si>
  <si>
    <t>Qasr-e-Jamal Banquet Hall is a premium marquee / lawn in Johar Town, Lahore, with an estimated seated capacity of 1,050 guests. The venue profile includes 2 banquet halls and an outdoor lawn/marquee option, air-conditioning, bridal support, event staff and generator-backed operations for weddings, receptions, walima and corporate gatherings.</t>
  </si>
  <si>
    <t>Jamal Chowk, 9 C 1, Johar Town, Lahore, 54000</t>
  </si>
  <si>
    <t>03094299451</t>
  </si>
  <si>
    <t>03004401072</t>
  </si>
  <si>
    <t>PKR 2,500-4,650 per person</t>
  </si>
  <si>
    <t>Premium one-dish per-person estimate: chicken PKR 2,500, beef PKR 3,000 and mutton PKR 4,650.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</si>
  <si>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large capacity, lawn, premium, marquee lawn, realistic package, per head pricing</t>
  </si>
  <si>
    <t>format_cleaned_unverified</t>
  </si>
  <si>
    <t>7</t>
  </si>
  <si>
    <t>Mughal-e-Azam Banquet Complex</t>
  </si>
  <si>
    <t>Mughal-e-Azam Banquet Complex is a premium marquee / lawn in Garden Town, Lahore, with an estimated seated capacity of 925 guests. The venue profile includes 2 banquet halls and an outdoor lawn/marquee option, air-conditioning, bridal support, event staff and generator-backed operations for weddings, receptions, walima and corporate gatherings.</t>
  </si>
  <si>
    <t>Usmani Rd, Aibak Block Garden Town, Lahore, 54000</t>
  </si>
  <si>
    <t>04235844052</t>
  </si>
  <si>
    <t>04234719204</t>
  </si>
  <si>
    <t>PKR 2,250-3,900 per person</t>
  </si>
  <si>
    <t>Premium one-dish per-person estimate: chicken PKR 2,250, beef PKR 2,750 and mutton PKR 3,900.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</si>
  <si>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large capacity, lawn, premium, marquee lawn, realistic package, per head pricing</t>
  </si>
  <si>
    <t>8</t>
  </si>
  <si>
    <t>Emporium Banquet Hall</t>
  </si>
  <si>
    <t>Emporium Banquet Hall is a premium hotel banquet in Johar Town, Lahore, with an estimated seated capacity of 725 guests. The venue profile includes 1 banquet hall, air-conditioning, bridal support, event staff and generator-backed operations for weddings, receptions, walima and corporate gatherings.</t>
  </si>
  <si>
    <t>Emporium, Abdul Haque Rd, Trade Centre Commercial Area Phase 2 Johar Town, Lahore, 54000</t>
  </si>
  <si>
    <t>042111646835</t>
  </si>
  <si>
    <t>03268224312</t>
  </si>
  <si>
    <t>PKR 2,600-4,100 per person</t>
  </si>
  <si>
    <t>Premium one-dish per-person estimate: chicken PKR 2,600, beef PKR 3,050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</si>
  <si>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large capacity, premium, hotel banquet, realistic package, per head pricing</t>
  </si>
  <si>
    <t>Hotel Banquet</t>
  </si>
  <si>
    <t>9</t>
  </si>
  <si>
    <t>De Flores Marquee Johar Town</t>
  </si>
  <si>
    <t>De Flores Marquee Johar Town is a premium marquee / lawn in Johar Town, Lahore, with an estimated seated capacity of 1,050 guests. The venue profile includes 2 banquet halls and an outdoor lawn/marquee option, air-conditioning, bridal support, event staff and generator-backed operations for weddings, receptions, walima and corporate gatherings.</t>
  </si>
  <si>
    <t>Plot # 417-422, behind LDA Sports Complex, Block D2 Block D 2 D-2 Johar Town, Lahore, 54000</t>
  </si>
  <si>
    <t>03704707858</t>
  </si>
  <si>
    <t>03224052401</t>
  </si>
  <si>
    <t>PKR 2,450-4,450 per person</t>
  </si>
  <si>
    <t>Premium one-dish per-person estimate: chicken PKR 2,450, beef PKR 2,900 and mutton PKR 4,450.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</si>
  <si>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marquee, large capacity, lawn, premium, marquee lawn, realistic package, per head pricing</t>
  </si>
  <si>
    <t>10</t>
  </si>
  <si>
    <t>Castle Banquet Hall</t>
  </si>
  <si>
    <t>Castle Banquet Hall is a standard banquet hall in Johar Town, Lahore, with an estimated seated capacity of 800 guests. The venue profile includes 1 banquet hall, air-conditioning, bridal support, event staff and generator-backed operations for weddings, receptions, walima and corporate gatherings.</t>
  </si>
  <si>
    <t>334 Sutlej Ave, NESPAK Society Block D 1 Nespak Housing Scheme, Lahore</t>
  </si>
  <si>
    <t>03214027611</t>
  </si>
  <si>
    <t>03047783113</t>
  </si>
  <si>
    <t>PKR 2,000-3,550 per person</t>
  </si>
  <si>
    <t>Standard one-dish per-person estimate: chicken PKR 2,000, beef PKR 2,450 and mutton PKR 3,550.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</si>
  <si>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large capacity, standard, realistic package, per head pricing</t>
  </si>
  <si>
    <t>11</t>
  </si>
  <si>
    <t>LUXE Marquee</t>
  </si>
  <si>
    <t>LUXE Marquee is a premium marquee / lawn in Gulberg, Lahore, with an estimated seated capacity of 475 guests. The venue profile includes 1 banquet hall and an outdoor lawn/marquee option, air-conditioning, bridal support, event staff and generator-backed operations for weddings, receptions, walima and corporate gatherings.</t>
  </si>
  <si>
    <t>Block E, Ex, Block N Gulberg III, Lahore</t>
  </si>
  <si>
    <t>Gulberg (III)</t>
  </si>
  <si>
    <t>03324247376</t>
  </si>
  <si>
    <t>03113760212</t>
  </si>
  <si>
    <t>PKR 2,450-4,700 per person</t>
  </si>
  <si>
    <t>Premium one-dish per-person estimate: chicken PKR 2,450, beef PKR 3,250 and mutton PKR 4,700.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</si>
  <si>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gulberg, traditional, marquee, lawn, gulberg (iii), premium, marquee lawn, realistic package, per head pricing</t>
  </si>
  <si>
    <t>12</t>
  </si>
  <si>
    <t>VenueHub Eastern Marquee</t>
  </si>
  <si>
    <t>VenueHub Eastern Marquee is a premium club / garrison venue in Cantt, Lahore, with an estimated seated capacity of 450 guests. The venue profile includes 1 banquet hall and an outdoor lawn/marquee option, air-conditioning, bridal support, event staff and generator-backed operations for weddings, receptions, walima and corporate gatherings.</t>
  </si>
  <si>
    <t>plot # 210 Wafaqi Colony Rd, Quaid-i-Azam Campus, Lahore, 54000</t>
  </si>
  <si>
    <t>Cantt (Cavalry Ground, Saddar, etc.)</t>
  </si>
  <si>
    <t>03214797787</t>
  </si>
  <si>
    <t>03158757465</t>
  </si>
  <si>
    <t>PKR 2,350-4,800 per person</t>
  </si>
  <si>
    <t>Premium one-dish per-person estimate: chicken PKR 2,350, beef PKR 3,100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</si>
  <si>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cantt, traditional, marquee, lawn, cantt (cavalry ground, saddar, etc.), premium, club garrison venue, realistic package, per head pricing</t>
  </si>
  <si>
    <t>Club / Garrison Venue</t>
  </si>
  <si>
    <t>13</t>
  </si>
  <si>
    <t>Qasar-e-Noor</t>
  </si>
  <si>
    <t>Qasar-e-Noor is a standard club / garrison venue in Cantt, Lahore, with an estimated seated capacity of 500 guests. The venue profile includes 1 banquet hall, air-conditioning, bridal support, event staff and generator-backed operations for weddings, receptions, walima and corporate gatherings.</t>
  </si>
  <si>
    <t>Khursheed Alam Road، near Polo Ground, Cantt, Lahore, 54810</t>
  </si>
  <si>
    <t>03219456888</t>
  </si>
  <si>
    <t>03141894339</t>
  </si>
  <si>
    <t>PKR 1,900-3,850 per person</t>
  </si>
  <si>
    <t>Standard one-dish per-person estimate: chicken PKR 1,900, beef PKR 2,700 and mutton PKR 3,850.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</si>
  <si>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cantt, traditional, cantt (cavalry ground, saddar, etc.), standard, club garrison venue, realistic package, per head pricing</t>
  </si>
  <si>
    <t>14</t>
  </si>
  <si>
    <t>Al Jannat Fort Marriage Hall</t>
  </si>
  <si>
    <t>Al Jannat Fort Marriage Hall is a standard banquet hall in Johar Town, Lahore, with an estimated seated capacity of 500 guests. The venue profile includes 1 banquet hall, air-conditioning, bridal support, event staff and generator-backed operations for weddings, receptions, walima and corporate gatherings.</t>
  </si>
  <si>
    <t>228-C PIA Road, Block C Phase 1 Johar Town, Lahore, 54000</t>
  </si>
  <si>
    <t>03234489982</t>
  </si>
  <si>
    <t>04237102584</t>
  </si>
  <si>
    <t>PKR 2,100-4,850 per person</t>
  </si>
  <si>
    <t>Standard one-dish per-person estimate: chicken PKR 2,100, beef PKR 2,800 and mutton PKR 4,850.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</si>
  <si>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standard, realistic package, per head pricing</t>
  </si>
  <si>
    <t>15</t>
  </si>
  <si>
    <t>Marhaba Banquet Hall</t>
  </si>
  <si>
    <t>Marhaba Banquet Hall is a standard banquet hall in Township, Lahore, with an estimated seated capacity of 500 guests. The venue profile includes 1 banquet hall, air-conditioning, bridal support, event staff and generator-backed operations for weddings, receptions, walima and corporate gatherings.</t>
  </si>
  <si>
    <t>Township Twp Commercial Area Lahore, 54770</t>
  </si>
  <si>
    <t>Township</t>
  </si>
  <si>
    <t>03219959555</t>
  </si>
  <si>
    <t>04237188303</t>
  </si>
  <si>
    <t>PKR 2,100-4,200 per person</t>
  </si>
  <si>
    <t>Standard one-dish per-person estimate: chicken PKR 2,100, beef PKR 2,650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</si>
  <si>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standard, realistic package, per head pricing</t>
  </si>
  <si>
    <t>16</t>
  </si>
  <si>
    <t>Green Leaf Castle</t>
  </si>
  <si>
    <t>Green Leaf Castle is a premium banquet hall in Johar Town, Lahore, with an estimated seated capacity of 500 guests. The venue profile includes 1 banquet hall, air-conditioning, bridal support, event staff and generator-backed operations for weddings, receptions, walima and corporate gatherings.</t>
  </si>
  <si>
    <t>Youhanabad, Lahore</t>
  </si>
  <si>
    <t>03054326705</t>
  </si>
  <si>
    <t>03072771525</t>
  </si>
  <si>
    <t>PKR 2,250-5,150 per person</t>
  </si>
  <si>
    <t>Premium one-dish per-person estimate: chicken PKR 2,250, beef PKR 3,050 and mutton PKR 5,150.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</si>
  <si>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premium, realistic package, per head pricing</t>
  </si>
  <si>
    <t>17</t>
  </si>
  <si>
    <t>Chalet Banquet Halls</t>
  </si>
  <si>
    <t>Chalet Banquet Halls is a premium banquet hall in Gulberg, Lahore, with an estimated seated capacity of 450 guests. The venue profile includes 1 banquet hall, air-conditioning, bridal support, event staff and generator-backed operations for weddings, receptions, walima and corporate gatherings.</t>
  </si>
  <si>
    <t>6-L, Kalma Chowk Flyover, Lahore – Kasur Rd Gulberg III, Lahore, 54000</t>
  </si>
  <si>
    <t>03144226109</t>
  </si>
  <si>
    <t>03239141967</t>
  </si>
  <si>
    <t>PKR 2,400-4,450 per person</t>
  </si>
  <si>
    <t>Premium one-dish per-person estimate: chicken PKR 2,400, beef PKR 3,300 and mutton PKR 4,450.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</si>
  <si>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gulberg, traditional, gulberg (iii), premium, realistic package, per head pricing</t>
  </si>
  <si>
    <t>18</t>
  </si>
  <si>
    <t>Dynasty Event Complex</t>
  </si>
  <si>
    <t>Dynasty Event Complex is a standard multi-hall banquet in Johar Town, Lahore, with an estimated seated capacity of 475 guests. The venue profile includes 2 banquet halls, air-conditioning, bridal support, event staff and generator-backed operations for weddings, receptions, walima and corporate gatherings.</t>
  </si>
  <si>
    <t>Block-H2, Johar Town, Near Expo Centre, Abdul Haque Rd, Block H 2 Phase 2 Johar Town, Lahore</t>
  </si>
  <si>
    <t>03234960904</t>
  </si>
  <si>
    <t>03350347534</t>
  </si>
  <si>
    <t>PKR 1,850-4,450 per person</t>
  </si>
  <si>
    <t>Standard one-dish per-person estimate: chicken PKR 1,850, beef PKR 2,550 and mutton PKR 4,450.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</si>
  <si>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johar town, traditional, standard, multi-hall banquet, realistic package, per head pricing</t>
  </si>
  <si>
    <t>19</t>
  </si>
  <si>
    <t>Al-Jannat Marriage Hall</t>
  </si>
  <si>
    <t>Al-Jannat Marriage Hall is a standard banquet hall in Johar Town, Lahore, with an estimated seated capacity of 525 guests. The venue profile includes 1 banquet hall, air-conditioning, bridal support, event staff and generator-backed operations for weddings, receptions, walima and corporate gatherings.</t>
  </si>
  <si>
    <t>Civic Center Block C Phase 1 Johar Town, Lahore, 54770</t>
  </si>
  <si>
    <t>03444399306</t>
  </si>
  <si>
    <t>04235991854</t>
  </si>
  <si>
    <t>PKR 1,950-3,950 per person</t>
  </si>
  <si>
    <t>Standard one-dish per-person estimate: chicken PKR 1,950, beef PKR 2,500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</si>
  <si>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20</t>
  </si>
  <si>
    <t>New Prince Marquee (Prince Hall)</t>
  </si>
  <si>
    <t>New Prince Marquee (Prince Hall) is a standard marquee / lawn in Garden Town, Lahore, with an estimated seated capacity of 500 guests. The venue profile includes 1 banquet hall and an outdoor lawn/marquee option, air-conditioning, bridal support, event staff and generator-backed operations for weddings, receptions, walima and corporate gatherings.</t>
  </si>
  <si>
    <t>9-A، Plot 40, New Muslim Town Abu Bakar Block Garden Town, Lahore, 54000</t>
  </si>
  <si>
    <t>03008406300</t>
  </si>
  <si>
    <t>03092093788</t>
  </si>
  <si>
    <t>PKR 2,150-4,550 per person</t>
  </si>
  <si>
    <t>Standard one-dish per-person estimate: chicken PKR 2,150, beef PKR 2,950 and mutton PKR 4,550.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</si>
  <si>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marquee, lawn, standard, marquee lawn, realistic package, per head pricing</t>
  </si>
  <si>
    <t>21</t>
  </si>
  <si>
    <t>Imperial Marquee</t>
  </si>
  <si>
    <t>Imperial Marquee is a premium marquee / lawn in Township, Lahore, with an estimated seated capacity of 500 guests. The venue profile includes 1 banquet hall and an outdoor lawn/marquee option, air-conditioning, bridal support, event staff and generator-backed operations for weddings, receptions, walima and corporate gatherings.</t>
  </si>
  <si>
    <t>624/c-3, Shah Jilani Road</t>
  </si>
  <si>
    <t>04235154501</t>
  </si>
  <si>
    <t>04233393571</t>
  </si>
  <si>
    <t>PKR 2,300-4,250 per person</t>
  </si>
  <si>
    <t>Premium one-dish per-person estimate: chicken PKR 2,300, beef PKR 2,950 and mutton PKR 4,250.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</si>
  <si>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marquee, lawn, premium, marquee lawn, realistic package, per head pricing</t>
  </si>
  <si>
    <t>22</t>
  </si>
  <si>
    <t>Al Jannat Royale</t>
  </si>
  <si>
    <t>Al Jannat Royale is a premium marquee / lawn in Raiwind Road, Lahore, with an estimated seated capacity of 525 guests. The venue profile includes 1 banquet hall and an outdoor lawn/marquee option, air-conditioning, bridal support, event staff and generator-backed operations for weddings, receptions, walima and corporate gatherings.</t>
  </si>
  <si>
    <t>Adda plot, Raiwind Rd, Lahore, 54000</t>
  </si>
  <si>
    <t>Raiwind Road</t>
  </si>
  <si>
    <t>03351437841</t>
  </si>
  <si>
    <t>03356877624</t>
  </si>
  <si>
    <t>PKR 2,500-4,450 per person</t>
  </si>
  <si>
    <t>Premium one-dish per-person estimate: chicken PKR 2,500, beef PKR 3,450 and mutton PKR 4,450.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</si>
  <si>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raiwind road, traditional, lawn, premium, marquee lawn, realistic package, per head pricing</t>
  </si>
  <si>
    <t>23</t>
  </si>
  <si>
    <t>Prime Banquet Hall &amp; Marquee</t>
  </si>
  <si>
    <t>Prime Banquet Hall &amp; Marquee is a standard marquee / lawn in Township, Lahore, with an estimated seated capacity of 525 guests. The venue profile includes 1 banquet hall and an outdoor lawn/marquee option, air-conditioning, bridal support, event staff and generator-backed operations for weddings, receptions, walima and corporate gatherings.</t>
  </si>
  <si>
    <t>283 2-C, 1 Shah Jilani Road, Block 2 Sector C-1 Block 2 Sector D1 Lahore, 54770</t>
  </si>
  <si>
    <t>03248402856</t>
  </si>
  <si>
    <t>04236413439</t>
  </si>
  <si>
    <t>PKR 1,850-3,850 per person</t>
  </si>
  <si>
    <t>Standard one-dish per-person estimate: chicken PKR 1,850, beef PKR 2,300 and mutton PKR 3,850.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</si>
  <si>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marquee, lawn, standard, marquee lawn, realistic package, per head pricing</t>
  </si>
  <si>
    <t>24</t>
  </si>
  <si>
    <t>Daffodils Marquee</t>
  </si>
  <si>
    <t>Daffodils Marquee is a premium marquee / lawn in Johar Town, Lahore, with an estimated seated capacity of 675 guests. The venue profile includes 1 banquet hall and an outdoor lawn/marquee option, air-conditioning, bridal support, event staff and generator-backed operations for weddings, receptions, walima and corporate gatherings.</t>
  </si>
  <si>
    <t>Block FTC, 7, opposite Expo Center Road, Johar Town, Lahore, 54000</t>
  </si>
  <si>
    <t>03086765555</t>
  </si>
  <si>
    <t>03334690848</t>
  </si>
  <si>
    <t>PKR 2,400-4,850 per person</t>
  </si>
  <si>
    <t>Premium one-dish per-person estimate: chicken PKR 2,400, beef PKR 3,050 and mutton PKR 4,850.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</si>
  <si>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25</t>
  </si>
  <si>
    <t>Elite Marquee</t>
  </si>
  <si>
    <t>Elite Marquee is a premium marquee / lawn in DHA Phase 8, Lahore, with an estimated seated capacity of 600 guests. The venue profile includes 1 banquet hall and an outdoor lawn/marquee option, air-conditioning, bridal support, event staff and generator-backed operations for weddings, receptions, walima and corporate gatherings.</t>
  </si>
  <si>
    <t>52-B Airport Rd, DHA Phase 8 - Ex Park View Block F gate, Lahore</t>
  </si>
  <si>
    <t>DHA Phase 8 (includes Park View &amp; Air Avenue)</t>
  </si>
  <si>
    <t>03218240097</t>
  </si>
  <si>
    <t>03225323151</t>
  </si>
  <si>
    <t>PKR 2,850-5,300 per person</t>
  </si>
  <si>
    <t>Premium one-dish per-person estimate: chicken PKR 2,850, beef PKR 3,350 and mutton PKR 5,300.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</si>
  <si>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dha phase 8 (includes park view &amp; air avenue), traditional, marquee, lawn, premium, marquee lawn, realistic package, per head pricing</t>
  </si>
  <si>
    <t>26</t>
  </si>
  <si>
    <t>Marquesina by TOPAZ</t>
  </si>
  <si>
    <t>Marquesina by TOPAZ is a premium club / garrison venue in Cantt, Lahore, with an estimated seated capacity of 525 guests. The venue profile includes 2 banquet halls, air-conditioning, bridal support, event staff and generator-backed operations for weddings, receptions, walima and corporate gatherings.</t>
  </si>
  <si>
    <t>Garrison Golf and Country Club, Saddar Town, Lahore, Punjab 54810</t>
  </si>
  <si>
    <t>03113825555</t>
  </si>
  <si>
    <t>03003260634</t>
  </si>
  <si>
    <t>PKR 2,450-5,400 per person</t>
  </si>
  <si>
    <t>Premium one-dish per-person estimate: chicken PKR 2,450, beef PKR 3,350 and mutton PKR 5,400.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</si>
  <si>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cantt, traditional, cantt (cavalry ground, saddar, etc.), premium, club garrison venue, realistic package, per head pricing</t>
  </si>
  <si>
    <t>27</t>
  </si>
  <si>
    <t>Ideal Event Complex</t>
  </si>
  <si>
    <t>Ideal Event Complex is a premium marquee / lawn in Johar Town, Lahore, with an estimated seated capacity of 900 guests. The venue profile includes 2 banquet halls and an outdoor lawn/marquee option, air-conditioning, bridal support, event staff and generator-backed operations for weddings, receptions, walima and corporate gatherings.</t>
  </si>
  <si>
    <t>8 Johar, Civic Centre Block D 2 Phase 1 town, Lahore, 54000</t>
  </si>
  <si>
    <t>03244388007</t>
  </si>
  <si>
    <t>03214494024</t>
  </si>
  <si>
    <t>PKR 2,500-4,550 per person</t>
  </si>
  <si>
    <t>Premium one-dish per-person estimate: chicken PKR 2,500, beef PKR 3,200 and mutton PKR 4,550.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</si>
  <si>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28</t>
  </si>
  <si>
    <t>Grand Orchid Farm House</t>
  </si>
  <si>
    <t>Grand Orchid Farm House is a premium marquee / lawn in Raiwind Road, Lahore, with an estimated seated capacity of 1,050 guests. The venue profile includes 2 banquet halls and an outdoor lawn/marquee option, air-conditioning, bridal support, event staff and generator-backed operations for weddings, receptions, walima and corporate gatherings.</t>
  </si>
  <si>
    <t>7 km Raiwind Rd, near Dubai Town, Block A Fazaia Housing Society, Lahore</t>
  </si>
  <si>
    <t>03000546043</t>
  </si>
  <si>
    <t>03164483336</t>
  </si>
  <si>
    <t>PKR 2,600-4,450 per person</t>
  </si>
  <si>
    <t>Premium one-dish per-person estimate: chicken PKR 2,600, beef PKR 3,500 and mutton PKR 4,450.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</si>
  <si>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raiwind road, traditional, farm house, large capacity, lawn, premium, marquee lawn, realistic package, per head pricing</t>
  </si>
  <si>
    <t>29</t>
  </si>
  <si>
    <t>Le Grand Chalet Event Complex</t>
  </si>
  <si>
    <t>Le Grand Chalet Event Complex is a premium multi-hall banquet in Johar Town, Lahore, with an estimated seated capacity of 525 guests. The venue profile includes 2 banquet halls, air-conditioning, bridal support, event staff and generator-backed operations for weddings, receptions, walima and corporate gatherings.</t>
  </si>
  <si>
    <t>14, A-1, Main Maulana Shaukat Ali Rd, G.E.C.H.S. Phase 3 Sector A 1 Lahore, 54600</t>
  </si>
  <si>
    <t>03166303800</t>
  </si>
  <si>
    <t>03334291387</t>
  </si>
  <si>
    <t>PKR 2,300-4,950 per person</t>
  </si>
  <si>
    <t>Premium one-dish per-person estimate: chicken PKR 2,300, beef PKR 2,950 and mutton PKR 4,950.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</si>
  <si>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premium, multi-hall banquet, realistic package, per head pricing</t>
  </si>
  <si>
    <t>30</t>
  </si>
  <si>
    <t>Couples Marquee &amp; Event Planner</t>
  </si>
  <si>
    <t>Couples Marquee &amp; Event Planner is a standard marquee / lawn in Johar Town, Lahore, with an estimated seated capacity of 475 guests. The venue profile includes 1 banquet hall and an outdoor lawn/marquee option, air-conditioning, bridal support, event staff and generator-backed operations for weddings, receptions, walima and corporate gatherings.</t>
  </si>
  <si>
    <t>7, opp. Expo Center Road, Trade Centre Aitchison Society, Lahore, 54000</t>
  </si>
  <si>
    <t>03201055303</t>
  </si>
  <si>
    <t>03344054201</t>
  </si>
  <si>
    <t>Standard one-dish per-person estimate: chicken PKR 2,150, beef PKR 3,050 and mutton PKR 4,550.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</si>
  <si>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marquee, lawn, standard, marquee lawn, realistic package, per head pricing</t>
  </si>
  <si>
    <t>31</t>
  </si>
  <si>
    <t>Noor Jahan Banquet Hall</t>
  </si>
  <si>
    <t>Noor Jahan Banquet Hall is a premium banquet hall in Garden Town, Lahore, with an estimated seated capacity of 375 guests. The venue profile includes 1 banquet hall, air-conditioning, bridal support, event staff and generator-backed operations for weddings, receptions, walima and corporate gatherings.</t>
  </si>
  <si>
    <t>10 - A New, Aibak Block Garden Town, Lahore, 54000</t>
  </si>
  <si>
    <t>04235835980</t>
  </si>
  <si>
    <t>03037598247</t>
  </si>
  <si>
    <t>PKR 2,250-4,900 per person</t>
  </si>
  <si>
    <t>Premium one-dish per-person estimate: chicken PKR 2,250, beef PKR 3,200 and mutton PKR 4,900.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</si>
  <si>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premium, realistic package, per head pricing</t>
  </si>
  <si>
    <t>32</t>
  </si>
  <si>
    <t>Grand Empire Marquee</t>
  </si>
  <si>
    <t>Grand Empire Marquee is a premium club / garrison venue in Cantt, Lahore, with an estimated seated capacity of 475 guests. The venue profile includes 2 banquet halls and an outdoor lawn/marquee option, air-conditioning, bridal support, event staff and generator-backed operations for weddings, receptions, walima and corporate gatherings.</t>
  </si>
  <si>
    <t>Saddar Gol Chakar, Karachi Mohalla Old Officers Colony, Lahore</t>
  </si>
  <si>
    <t>03091430351</t>
  </si>
  <si>
    <t>03231077861</t>
  </si>
  <si>
    <t>PKR 2,300-4,400 per person</t>
  </si>
  <si>
    <t>Premium one-dish per-person estimate: chicken PKR 2,300, beef PKR 2,700 and mutton PKR 4,400.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</si>
  <si>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33</t>
  </si>
  <si>
    <t>Elegant Marquee</t>
  </si>
  <si>
    <t>Elegant Marquee is a standard marquee / lawn in Township, Lahore, with an estimated seated capacity of 450 guests. The venue profile includes 1 banquet hall and an outdoor lawn/marquee option, air-conditioning, bridal support, event staff and generator-backed operations for weddings, receptions, walima and corporate gatherings.</t>
  </si>
  <si>
    <t>695-2-D1 Shah Jilani Road, Block 2 Sector C-1 Block 2 Twp Sector C 1 Lahore, 54770</t>
  </si>
  <si>
    <t>03228084854</t>
  </si>
  <si>
    <t>03232769771</t>
  </si>
  <si>
    <t>PKR 2,000-3,450 per person</t>
  </si>
  <si>
    <t>Standard one-dish per-person estimate: chicken PKR 2,000, beef PKR 2,450 and mutton PKR 3,450.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</si>
  <si>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34</t>
  </si>
  <si>
    <t>Topaz Marquee</t>
  </si>
  <si>
    <t>Topaz Marquee is a premium marquee / lawn in Johar Town, Lahore, with an estimated seated capacity of 625 guests. The venue profile includes 2 banquet halls and an outdoor lawn/marquee option, air-conditioning, bridal support, event staff and generator-backed operations for weddings, receptions, walima and corporate gatherings.</t>
  </si>
  <si>
    <t>R 2 Khayaban-e-Firdousi, Block D2 Block D 2 Phase 1 Johar Town, Lahore</t>
  </si>
  <si>
    <t>04235401615</t>
  </si>
  <si>
    <t>03225339422</t>
  </si>
  <si>
    <t>PKR 2,550-4,550 per person</t>
  </si>
  <si>
    <t>Premium one-dish per-person estimate: chicken PKR 2,550, beef PKR 3,000 and mutton PKR 4,550.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</si>
  <si>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marquee, lawn, premium, marquee lawn, realistic package, per head pricing</t>
  </si>
  <si>
    <t>35</t>
  </si>
  <si>
    <t>Canal Orchid Event Complex</t>
  </si>
  <si>
    <t>Canal Orchid Event Complex is a premium marquee / lawn in Johar Town, Lahore, with an estimated seated capacity of 475 guests. The venue profile includes 2 banquet halls and an outdoor lawn/marquee option, air-conditioning, bridal support, event staff and generator-backed operations for weddings, receptions, walima and corporate gatherings.</t>
  </si>
  <si>
    <t>Canal Rd, Block G2 Block G 2 Phase 2 Johar Town, Lahore</t>
  </si>
  <si>
    <t>03214733775</t>
  </si>
  <si>
    <t>03046251675</t>
  </si>
  <si>
    <t>PKR 2,450-5,500 per person</t>
  </si>
  <si>
    <t>Premium one-dish per-person estimate: chicken PKR 2,450, beef PKR 3,400 and mutton PKR 5,500.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</si>
  <si>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lawn, premium, marquee lawn, realistic package, per head pricing</t>
  </si>
  <si>
    <t>36</t>
  </si>
  <si>
    <t>Ritz Marquee</t>
  </si>
  <si>
    <t>Ritz Marquee is a premium marquee / lawn in Raiwind Road, Lahore, with an estimated seated capacity of 1,000 guests. The venue profile includes 2 banquet halls and an outdoor lawn/marquee option, air-conditioning, bridal support, event staff and generator-backed operations for weddings, receptions, walima and corporate gatherings.</t>
  </si>
  <si>
    <t>Shimla Hill, Durand Rd, Muhammad Nagar Mayo Gardens, Lahore, 54000</t>
  </si>
  <si>
    <t>03228181888</t>
  </si>
  <si>
    <t>03014248516</t>
  </si>
  <si>
    <t>PKR 2,700-5,100 per person</t>
  </si>
  <si>
    <t>Premium one-dish per-person estimate: chicken PKR 2,700, beef PKR 3,250 and mutton PKR 5,100.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</si>
  <si>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raiwind road, traditional, marquee, large capacity, lawn, premium, marquee lawn, realistic package, per head pricing</t>
  </si>
  <si>
    <t>37</t>
  </si>
  <si>
    <t>Grand Pavilion - Hall # 7</t>
  </si>
  <si>
    <t>Grand Pavilion - Hall # 7 is a premium club / garrison venue in Cantt, Lahore, with an estimated seated capacity of 1,000 guests. The venue profile includes 3 banquet halls, air-conditioning, bridal support, event staff and generator-backed operations for weddings, receptions, walima and corporate gatherings.</t>
  </si>
  <si>
    <t>Hall # 7، Wedding Halls، Garrison Golf &amp; Country Club, Saddar Town, Lahore, 54000</t>
  </si>
  <si>
    <t>04236611321</t>
  </si>
  <si>
    <t>03134218128</t>
  </si>
  <si>
    <t>PKR 2,500-4,600 per person</t>
  </si>
  <si>
    <t>Premium one-dish per-person estimate: chicken PKR 2,500, beef PKR 3,450 and mutton PKR 4,600.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</si>
  <si>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cantt, traditional, large capacity, cantt (cavalry ground, saddar, etc.), premium, club garrison venue, realistic package, per head pricing</t>
  </si>
  <si>
    <t>38</t>
  </si>
  <si>
    <t>Shershah Palace - Marquee &amp; Farmhouse</t>
  </si>
  <si>
    <t>Shershah Palace - Marquee &amp; Farmhouse is a premium marquee / lawn in Raiwind Road, Lahore, with an estimated seated capacity of 475 guests. The venue profile includes 1 banquet hall and an outdoor lawn/marquee option, air-conditioning, bridal support, event staff and generator-backed operations for weddings, receptions, walima and corporate gatherings.</t>
  </si>
  <si>
    <t>Adda Plot Raiwind Rd, Eden Park, Lahore, 54000</t>
  </si>
  <si>
    <t>03078133331</t>
  </si>
  <si>
    <t>03160677378</t>
  </si>
  <si>
    <t>PKR 2,450-5,250 per person</t>
  </si>
  <si>
    <t>Premium one-dish per-person estimate: chicken PKR 2,450, beef PKR 3,250 and mutton PKR 5,250.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</si>
  <si>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raiwind road, traditional, marquee, farm house, lawn, premium, marquee lawn, realistic package, per head pricing</t>
  </si>
  <si>
    <t>39</t>
  </si>
  <si>
    <t>Dynasty Gulberg Event Complex</t>
  </si>
  <si>
    <t>Dynasty Gulberg Event Complex is a premium banquet hall in Gulberg, Lahore, with an estimated seated capacity of 475 guests. The venue profile includes 1 banquet hall, air-conditioning, bridal support, event staff and generator-backed operations for weddings, receptions, walima and corporate gatherings.</t>
  </si>
  <si>
    <t>109 Hali Rd, Block E1 Block E 1 Gulberg III, Lahore, 54000</t>
  </si>
  <si>
    <t>04235711725</t>
  </si>
  <si>
    <t>03049978954</t>
  </si>
  <si>
    <t>PKR 2,350-5,150 per person</t>
  </si>
  <si>
    <t>Premium one-dish per-person estimate: chicken PKR 2,350, beef PKR 3,150 and mutton PKR 5,150. Includes climate-controlled seating, standard stage and décor coordination, bridal room, backup generator, managed parking. Rates are realistic training estimates, not confirmed quotes, and may vary by menu, date, guest count, décor scope, taxes and service charges.</t>
  </si>
  <si>
    <t>40</t>
  </si>
  <si>
    <t>Royal Castle Marriage Hall</t>
  </si>
  <si>
    <t>Royal Castle Marriage Hall is a premium banquet hall in Johar Town, Lahore, with an estimated seated capacity of 500 guests. The venue profile includes 1 banquet hall, air-conditioning, bridal support, event staff and generator-backed operations for weddings, receptions, walima and corporate gatherings.</t>
  </si>
  <si>
    <t>8-C C, Block C Phase 1 Johar Town, Lahore, 54770</t>
  </si>
  <si>
    <t>03419255555</t>
  </si>
  <si>
    <t>03337362173</t>
  </si>
  <si>
    <t>PKR 2,550-4,750 per person</t>
  </si>
  <si>
    <t>Premium one-dish per-person estimate: chicken PKR 2,550, beef PKR 3,500 and mutton PKR 4,750. Includes climate-controlled seating, standard stage and décor coordination, bridal room, backup generator. Rates are realistic training estimates, not confirmed quotes, and may vary by menu, date, guest count, décor scope, taxes and service charges.</t>
  </si>
  <si>
    <t>41</t>
  </si>
  <si>
    <t>Golden Fort Banquet Hall</t>
  </si>
  <si>
    <t>Golden Fort Banquet Hall is a premium banquet hall in Johar Town, Lahore, with an estimated seated capacity of 500 guests. The venue profile includes 1 banquet hall, air-conditioning, bridal support, event staff and generator-backed operations for weddings, receptions, walima and corporate gatherings.</t>
  </si>
  <si>
    <t>332 D1 Lahore NESPAK Housing Society, Phase II Site 1, Lahore</t>
  </si>
  <si>
    <t>03214150888</t>
  </si>
  <si>
    <t>03003940239</t>
  </si>
  <si>
    <t>PKR 2,500-5,350 per person</t>
  </si>
  <si>
    <t>Premium one-dish per-person estimate: chicken PKR 2,500, beef PKR 3,400 and mutton PKR 5,350. Includes climate-controlled seating, standard stage and décor coordination, bridal room, backup generator, managed parking. Rates are realistic training estimates, not confirmed quotes, and may vary by menu, date, guest count, décor scope, taxes and service charges.</t>
  </si>
  <si>
    <t>42</t>
  </si>
  <si>
    <t>Pearl Palace Event Complex</t>
  </si>
  <si>
    <t>Pearl Palace Event Complex is a premium multi-hall banquet in Johar Town, Lahore, with an estimated seated capacity of 500 guests. The venue profile includes 2 banquet halls, air-conditioning, bridal support, event staff and generator-backed operations for weddings, receptions, walima and corporate gatherings.</t>
  </si>
  <si>
    <t>38, Main Maulana Shaukat Ali Rd, Sector A1 Lahore, 54000</t>
  </si>
  <si>
    <t>03024848178</t>
  </si>
  <si>
    <t>03053886954</t>
  </si>
  <si>
    <t>PKR 2,550-4,650 per person</t>
  </si>
  <si>
    <t>Premium one-dish per-person estimate: chicken PKR 2,550, beef PKR 3,300 and mutton PKR 4,650. Includes climate-controlled seating, standard stage and décor coordination, bridal room, backup generator. Rates are realistic training estimates, not confirmed quotes, and may vary by menu, date, guest count, décor scope, taxes and service charges.</t>
  </si>
  <si>
    <t>43</t>
  </si>
  <si>
    <t>HighLand Marquee No 17 Garrison Golf and Country club</t>
  </si>
  <si>
    <t>HighLand Marquee No 17 Garrison Golf and Country club is a premium club / garrison venue in Cantt, Lahore, with an estimated seated capacity of 500 guests. The venue profile includes 2 banquet halls and an outdoor lawn/marquee option, air-conditioning, bridal support, event staff and generator-backed operations for weddings, receptions, walima and corporate gatherings.</t>
  </si>
  <si>
    <t>Hall No.17, Garrison Golf and Country Club, behind New Airport, near Pakistan Army Museum, Saddar Town, Lahore</t>
  </si>
  <si>
    <t>04236611116</t>
  </si>
  <si>
    <t>03248851984</t>
  </si>
  <si>
    <t>PKR 2,350-4,650 per person</t>
  </si>
  <si>
    <t>Premium one-dish per-person estimate: chicken PKR 2,350, beef PKR 3,300 and mutton PKR 4,650.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</si>
  <si>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44</t>
  </si>
  <si>
    <t>Topaz Executive Hall Model Town</t>
  </si>
  <si>
    <t>Topaz Executive Hall Model Town is a premium banquet hall in Model Town, Lahore, with an estimated seated capacity of 525 guests. The venue profile includes 1 banquet hall, air-conditioning, bridal support, event staff and generator-backed operations for weddings, receptions, walima and corporate gatherings.</t>
  </si>
  <si>
    <t>31/37 Lower Mall, Block K Model Town, Lahore, 54000</t>
  </si>
  <si>
    <t>Model Town</t>
  </si>
  <si>
    <t>04235916663</t>
  </si>
  <si>
    <t>03168991706</t>
  </si>
  <si>
    <t>PKR 2,400-5,200 per person</t>
  </si>
  <si>
    <t>Premium one-dish per-person estimate: chicken PKR 2,400, beef PKR 3,150 and mutton PKR 5,200.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</si>
  <si>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model town, traditional, premium, realistic package, per head pricing</t>
  </si>
  <si>
    <t>45</t>
  </si>
  <si>
    <t>CASTELLO by TOPAZ</t>
  </si>
  <si>
    <t>CASTELLO by TOPAZ is a premium club / garrison venue in Cantt, Lahore, with an estimated seated capacity of 250 guests. The venue profile includes 1 banquet hall, air-conditioning, bridal support, event staff and generator-backed operations for weddings, receptions, walima and corporate gatherings.</t>
  </si>
  <si>
    <t>Hall #18, Garrison Golf and Country Club, New Airport Road, Cantt, Lahore</t>
  </si>
  <si>
    <t>03262333666</t>
  </si>
  <si>
    <t>03103154948</t>
  </si>
  <si>
    <t>Premium one-dish per-person estimate: chicken PKR 2,300, beef PKR 2,800 and mutton PKR 4,400. Includes climate-controlled seating, standard stage and décor coordination, bridal room, backup generator. Rates are realistic training estimates, not confirmed quotes, and may vary by menu, date, guest count, décor scope, taxes and service charges.</t>
  </si>
  <si>
    <t>46</t>
  </si>
  <si>
    <t>Grand Nexus Marquee</t>
  </si>
  <si>
    <t>Grand Nexus Marquee is a premium marquee / lawn in Johar Town, Lahore, with an estimated seated capacity of 475 guests. The venue profile includes 1 banquet hall and an outdoor lawn/marquee option, air-conditioning, bridal support, event staff and generator-backed operations for weddings, receptions, walima and corporate gatherings.</t>
  </si>
  <si>
    <t>PASCO Town Main Rd, Block D Muhafiz Town, Lahore, 54000</t>
  </si>
  <si>
    <t>03022464927</t>
  </si>
  <si>
    <t>03236917351</t>
  </si>
  <si>
    <t>PKR 2,450-4,850 per person</t>
  </si>
  <si>
    <t>Premium one-dish per-person estimate: chicken PKR 2,450, beef PKR 2,900 and mutton PKR 4,850.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</si>
  <si>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47</t>
  </si>
  <si>
    <t>Crystal Grand</t>
  </si>
  <si>
    <t>Crystal Grand is a standard multi-hall banquet in Johar Town, Lahore, with an estimated seated capacity of 475 guests. The venue profile includes 2 banquet halls, air-conditioning, bridal support, event staff and generator-backed operations for weddings, receptions, walima and corporate gatherings.</t>
  </si>
  <si>
    <t>Commercial Area, Lahore Avenue Society, Kader Topbash Chowk, Khayaban-e-Jinnah, Block B Opf Housing Scheme, Lahore</t>
  </si>
  <si>
    <t>03123657924</t>
  </si>
  <si>
    <t>03327192661</t>
  </si>
  <si>
    <t>PKR 2,100-4,900 per person</t>
  </si>
  <si>
    <t>Standard one-dish per-person estimate: chicken PKR 2,100, beef PKR 2,950 and mutton PKR 4,900. Includes climate-controlled seating, standard stage and décor coordination, bridal room, backup generator, managed parking. Rates are realistic training estimates, not confirmed quotes, and may vary by menu, date, guest count, décor scope, taxes and service charges.</t>
  </si>
  <si>
    <t>48</t>
  </si>
  <si>
    <t>Grace Fort Event Complex</t>
  </si>
  <si>
    <t>Grace Fort Event Complex is a premium multi-hall banquet in Township, Lahore, with an estimated seated capacity of 500 guests. The venue profile includes 2 banquet halls, air-conditioning, bridal support, event staff and generator-backed operations for weddings, receptions, walima and corporate gatherings.</t>
  </si>
  <si>
    <t>18, near Hamdard Chowk Town ship, Lahore, 54700</t>
  </si>
  <si>
    <t>04235233441</t>
  </si>
  <si>
    <t>03240223406</t>
  </si>
  <si>
    <t>PKR 2,250-4,300 per person</t>
  </si>
  <si>
    <t>Premium one-dish per-person estimate: chicken PKR 2,250, beef PKR 3,000 and mutton PKR 4,300.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</si>
  <si>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township, traditional, premium, multi-hall banquet, realistic package, per head pricing</t>
  </si>
  <si>
    <t>49</t>
  </si>
  <si>
    <t>Chateau d'Amour</t>
  </si>
  <si>
    <t>Chateau d'Amour is a premium club / garrison venue in Cantt, Lahore, with an estimated seated capacity of 1,075 guests. The venue profile includes 2 banquet halls and an outdoor lawn/marquee option, air-conditioning, bridal support, event staff and generator-backed operations for weddings, receptions, walima and corporate gatherings.</t>
  </si>
  <si>
    <t>Garrison Golf and Country Club, Hall No 20, Saddar Town, Lahore.</t>
  </si>
  <si>
    <t>03393211104</t>
  </si>
  <si>
    <t>03004960813</t>
  </si>
  <si>
    <t>PKR 2,350-4,500 per person</t>
  </si>
  <si>
    <t>Premium one-dish per-person estimate: chicken PKR 2,350, beef PKR 2,900 and mutton PKR 4,500.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</si>
  <si>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cantt, traditional, large capacity, lawn, cantt (cavalry ground, saddar, etc.), premium, club garrison venue, realistic package, per head pricing</t>
  </si>
  <si>
    <t>50</t>
  </si>
  <si>
    <t>DHANAK Events Complex Hall #15</t>
  </si>
  <si>
    <t>DHANAK Events Complex Hall #15 is a standard club / garrison venue in Cantt, Lahore, with an estimated seated capacity of 475 guests. The venue profile includes 2 banquet halls, air-conditioning, bridal support, event staff and generator-backed operations for weddings, receptions, walima and corporate gatherings.</t>
  </si>
  <si>
    <t>Garrison Golf and Country Club, Saddar Town, Lahore, 54810</t>
  </si>
  <si>
    <t>03122486077</t>
  </si>
  <si>
    <t>03268725554</t>
  </si>
  <si>
    <t>PKR 1,950-4,000 per person</t>
  </si>
  <si>
    <t>Standard one-dish per-person estimate: chicken PKR 1,950, beef PKR 2,400 and mutton PKR 4,000. Includes climate-controlled seating, standard stage and décor coordination, bridal room, backup generator, managed parking. Rates are realistic training estimates, not confirmed quotes, and may vary by menu, date, guest count, décor scope, taxes and service charges.</t>
  </si>
  <si>
    <t>51</t>
  </si>
  <si>
    <t>Blessing Banquet Hall</t>
  </si>
  <si>
    <t>Blessing Banquet Hall is a premium banquet hall in Johar Town, Lahore, with an estimated seated capacity of 750 guests. The venue profile includes 1 banquet hall, air-conditioning, bridal support, event staff and generator-backed operations for weddings, receptions, walima and corporate gatherings.</t>
  </si>
  <si>
    <t>9 civic center, Johar Town, Block D 2 Phase 1 Johar Town, Lahore</t>
  </si>
  <si>
    <t>03215427856</t>
  </si>
  <si>
    <t>03234803440</t>
  </si>
  <si>
    <t>PKR 2,200-4,850 per person</t>
  </si>
  <si>
    <t>Premium one-dish per-person estimate: chicken PKR 2,200, beef PKR 2,900 and mutton PKR 4,850.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</si>
  <si>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large capacity, premium, realistic package, per head pricing</t>
  </si>
  <si>
    <t>52</t>
  </si>
  <si>
    <t>Le Grand Chalet Marquee</t>
  </si>
  <si>
    <t>Le Grand Chalet Marquee is a premium marquee / lawn in Township, Lahore, with an estimated seated capacity of 825 guests. The venue profile includes 2 banquet halls and an outdoor lawn/marquee option, air-conditioning, bridal support, event staff and generator-backed operations for weddings, receptions, walima and corporate gatherings.</t>
  </si>
  <si>
    <t>7 Ali Rd, Civic Center Twp, Commercial Area, Lahore.</t>
  </si>
  <si>
    <t>03166301983</t>
  </si>
  <si>
    <t>03051523551</t>
  </si>
  <si>
    <t>PKR 2,350-4,300 per person</t>
  </si>
  <si>
    <t>Premium one-dish per-person estimate: chicken PKR 2,350, beef PKR 3,150 and mutton PKR 4,300.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</si>
  <si>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marquee, large capacity, lawn, premium, marquee lawn, realistic package, per head pricing</t>
  </si>
  <si>
    <t>53</t>
  </si>
  <si>
    <t>Mughal-e-Azam Executive Hall</t>
  </si>
  <si>
    <t>Mughal-e-Azam Executive Hall is a premium multi-hall banquet in Garden Town, Lahore, with an estimated seated capacity of 450 guests. The venue profile includes 2 banquet halls, air-conditioning, bridal support, event staff and generator-backed operations for weddings, receptions, walima and corporate gatherings.</t>
  </si>
  <si>
    <t>10 - Aibak Block, Main Boulevard, New Garden Town, Lahore.</t>
  </si>
  <si>
    <t>04234076923</t>
  </si>
  <si>
    <t>03096611405</t>
  </si>
  <si>
    <t>PKR 2,400-4,500 per person</t>
  </si>
  <si>
    <t>Premium one-dish per-person estimate: chicken PKR 2,400, beef PKR 3,050 and mutton PKR 4,500.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</si>
  <si>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garden town, traditional, premium, multi-hall banquet, realistic package, per head pricing</t>
  </si>
  <si>
    <t>54</t>
  </si>
  <si>
    <t>Lotus Marquee</t>
  </si>
  <si>
    <t>Lotus Marquee is a premium marquee / lawn in DHA Phase 8, Lahore, with an estimated seated capacity of 475 guests. The venue profile includes 1 banquet hall and an outdoor lawn/marquee option, air-conditioning, bridal support, event staff and generator-backed operations for weddings, receptions, walima and corporate gatherings.</t>
  </si>
  <si>
    <t>Lotus marquee new, Airport Rd, Gulshan e Ali Colony, Lahore</t>
  </si>
  <si>
    <t>03004144237</t>
  </si>
  <si>
    <t>03014160644</t>
  </si>
  <si>
    <t>PKR 2,750-5,150 per person</t>
  </si>
  <si>
    <t>Premium one-dish per-person estimate: chicken PKR 2,750, beef PKR 3,500 and mutton PKR 5,150.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</si>
  <si>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55</t>
  </si>
  <si>
    <t>Time Square Event Complex and Caterers</t>
  </si>
  <si>
    <t>Time Square Event Complex and Caterers is a standard multi-hall banquet in Johar Town, Lahore, with an estimated seated capacity of 500 guests. The venue profile includes 2 banquet halls, air-conditioning, bridal support, event staff and generator-backed operations for weddings, receptions, walima and corporate gatherings.</t>
  </si>
  <si>
    <t>5-F Block Johar Town Commercial Behind Ilyas Dumba Karahi Restaurant Phase 1, Lahore, 54000</t>
  </si>
  <si>
    <t>03128917445</t>
  </si>
  <si>
    <t>03005029222</t>
  </si>
  <si>
    <t>PKR 1,900-4,150 per person</t>
  </si>
  <si>
    <t>Standard one-dish per-person estimate: chicken PKR 1,900, beef PKR 2,600 and mutton PKR 4,150. Includes climate-controlled seating, standard stage and décor coordination, bridal room, backup generator, managed parking. Rates are realistic training estimates, not confirmed quotes, and may vary by menu, date, guest count, décor scope, taxes and service charges.</t>
  </si>
  <si>
    <t>56</t>
  </si>
  <si>
    <t>Marwa Marriage Hall &amp; Marquee</t>
  </si>
  <si>
    <t>Marwa Marriage Hall &amp; Marquee is a premium marquee / lawn in Johar Town, Lahore, with an estimated seated capacity of 475 guests. The venue profile includes 1 banquet hall and an outdoor lawn/marquee option, air-conditioning, bridal support, event staff and generator-backed operations for weddings, receptions, walima and corporate gatherings.</t>
  </si>
  <si>
    <t>Khayaban-e-Firdousi, Civic Centre Block D 2 Phase 1 Johar Town, Lahore, 54000</t>
  </si>
  <si>
    <t>03114224542</t>
  </si>
  <si>
    <t>03104187486</t>
  </si>
  <si>
    <t>PKR 2,200-4,800 per person</t>
  </si>
  <si>
    <t>Premium one-dish per-person estimate: chicken PKR 2,200, beef PKR 3,200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</si>
  <si>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57</t>
  </si>
  <si>
    <t>Renoir by Zafar Group</t>
  </si>
  <si>
    <t>Renoir by Zafar Group is a premium club / garrison venue in Cantt, Lahore, with an estimated seated capacity of 1,050 guests. The venue profile includes 3 banquet halls, air-conditioning, bridal support, event staff and generator-backed operations for weddings, receptions, walima and corporate gatherings.</t>
  </si>
  <si>
    <t>Hall 14, Garrison Golf and Country Club, Saddar Town, Lahore</t>
  </si>
  <si>
    <t>03079888333</t>
  </si>
  <si>
    <t>03179834089</t>
  </si>
  <si>
    <t>PKR 2,250-3,800 per person</t>
  </si>
  <si>
    <t>Premium one-dish per-person estimate: chicken PKR 2,250, beef PKR 2,750 and mutton PKR 3,800. Includes climate-controlled seating, standard stage and décor coordination, bridal room, backup generator, managed parking. Rates are realistic training estimates, not confirmed quotes, and may vary by menu, date, guest count, décor scope, taxes and service charges.</t>
  </si>
  <si>
    <t>58</t>
  </si>
  <si>
    <t>Dera Marriage Hall</t>
  </si>
  <si>
    <t>Dera Marriage Hall is a standard banquet hall in Johar Town, Lahore, with an estimated seated capacity of 500 guests. The venue profile includes 1 banquet hall, air-conditioning, bridal support, event staff and generator-backed operations for weddings, receptions, walima and corporate gatherings.</t>
  </si>
  <si>
    <t>2-C, Block C Phase 1 Johar Town, Lahore, 54770</t>
  </si>
  <si>
    <t>03004453648</t>
  </si>
  <si>
    <t>03008984158</t>
  </si>
  <si>
    <t>PKR 1,950-3,850 per person</t>
  </si>
  <si>
    <t>Standard one-dish per-person estimate: chicken PKR 1,950, beef PKR 2,550 and mutton PKR 3,850. Includes climate-controlled seating, standard stage and décor coordination, bridal room, backup generator, managed parking. Rates are realistic training estimates, not confirmed quotes, and may vary by menu, date, guest count, décor scope, taxes and service charges.</t>
  </si>
  <si>
    <t>59</t>
  </si>
  <si>
    <t>Qadir Palace Banquet Hall</t>
  </si>
  <si>
    <t>Qadir Palace Banquet Hall is a premium banquet hall in Johar Town, Lahore, with an estimated seated capacity of 500 guests. The venue profile includes 1 banquet hall, air-conditioning, bridal support, event staff and generator-backed operations for weddings, receptions, walima and corporate gatherings.</t>
  </si>
  <si>
    <t>Maulana Shaukat Ali Rd, Kot Lakhpat, Lahore, 54000</t>
  </si>
  <si>
    <t>03033521959</t>
  </si>
  <si>
    <t>03121556263</t>
  </si>
  <si>
    <t>PKR 2,250-4,500 per person</t>
  </si>
  <si>
    <t>Premium one-dish per-person estimate: chicken PKR 2,250, beef PKR 2,950 and mutton PKR 4,500. Includes climate-controlled seating, standard stage and décor coordination, bridal room, backup generator, managed parking. Rates are realistic training estimates, not confirmed quotes, and may vary by menu, date, guest count, décor scope, taxes and service charges.</t>
  </si>
  <si>
    <t>60</t>
  </si>
  <si>
    <t>Falettis banquet divine garden</t>
  </si>
  <si>
    <t>Falettis banquet divine garden is a premium marquee / lawn in Garden Town, Lahore, with an estimated seated capacity of 525 guests. The venue profile includes 1 banquet hall and an outdoor lawn/marquee option, air-conditioning, bridal support, event staff and generator-backed operations for weddings, receptions, walima and corporate gatherings.</t>
  </si>
  <si>
    <t>divine, Street no 8 A, block, garden, Lahore, 54000</t>
  </si>
  <si>
    <t>03149431211</t>
  </si>
  <si>
    <t>03099905329</t>
  </si>
  <si>
    <t>PKR 2,200-3,850 per person</t>
  </si>
  <si>
    <t>Premium one-dish per-person estimate: chicken PKR 2,200, beef PKR 2,900 and mutton PKR 3,850. Includes climate-controlled seating, standard stage and décor coordination, lawn/marquee setup option, bridal room, backup generator. Rates are realistic training estimates, not confirmed quotes, and may vary by menu, date, guest count, décor scope, taxes and service charges.</t>
  </si>
  <si>
    <t>lahore, wedding, shaadi, reception, walima, marriage hall, banquet hall, garden town, traditional, lawn, premium, marquee lawn, realistic package, per head pricing</t>
  </si>
  <si>
    <t>61</t>
  </si>
  <si>
    <t>Sheesh Mahal Banquet Hall</t>
  </si>
  <si>
    <t>Sheesh Mahal Banquet Hall is a premium banquet hall in Johar Town, Lahore, with an estimated seated capacity of 475 guests. The venue profile includes 1 banquet hall, air-conditioning, bridal support, event staff and generator-backed operations for weddings, receptions, walima and corporate gatherings.</t>
  </si>
  <si>
    <t>333 Sutlej Ave, NESPAK Society Block D 1 Nespak Housing Scheme, Lahore</t>
  </si>
  <si>
    <t>04235039033</t>
  </si>
  <si>
    <t>03071786724</t>
  </si>
  <si>
    <t>PKR 2,300-4,750 per person</t>
  </si>
  <si>
    <t>Premium one-dish per-person estimate: chicken PKR 2,300, beef PKR 3,000 and mutton PKR 4,750. Includes climate-controlled seating, standard stage and décor coordination, bridal room, backup generator, managed parking. Rates are realistic training estimates, not confirmed quotes, and may vary by menu, date, guest count, décor scope, taxes and service charges.</t>
  </si>
  <si>
    <t>62</t>
  </si>
  <si>
    <t>Johar Event Complex.</t>
  </si>
  <si>
    <t>Johar Event Complex. is a standard banquet hall in Johar Town, Lahore, with an estimated seated capacity of 475 guests. The venue profile includes 1 banquet hall, air-conditioning, bridal support, event staff and generator-backed operations for weddings, receptions, walima and corporate gatherings.</t>
  </si>
  <si>
    <t>20 Maulana Shaukat Ali Rd, Block E Phase 1 Johar Town, Lahore</t>
  </si>
  <si>
    <t>04235171566</t>
  </si>
  <si>
    <t>03086714782</t>
  </si>
  <si>
    <t>PKR 2,050-4,550 per person</t>
  </si>
  <si>
    <t>Standard one-dish per-person estimate: chicken PKR 2,050, beef PKR 2,650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</si>
  <si>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63</t>
  </si>
  <si>
    <t>Sabzazar Event Hall</t>
  </si>
  <si>
    <t>Sabzazar Event Hall is a standard banquet hall in Sabzazar, Lahore, with an estimated seated capacity of 500 guests. The venue profile includes 1 banquet hall, air-conditioning, bridal support, event staff and generator-backed operations for weddings, receptions, walima and corporate gatherings.</t>
  </si>
  <si>
    <t>Civic Centre, Block C, Sabzazar, Lahore, 54000</t>
  </si>
  <si>
    <t>03236519251</t>
  </si>
  <si>
    <t>03235444817</t>
  </si>
  <si>
    <t>PKR 1,700-3,750 per person</t>
  </si>
  <si>
    <t>Standard one-dish per-person estimate: chicken PKR 1,700, beef PKR 2,450 and mutton PKR 3,750.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</si>
  <si>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sabzazar, traditional, standard, realistic package, per head pricing</t>
  </si>
  <si>
    <t>64</t>
  </si>
  <si>
    <t>Nagina Banquets</t>
  </si>
  <si>
    <t>Nagina Banquets is a standard banquet hall in Sabzazar, Lahore, with an estimated seated capacity of 525 guests. The venue profile includes 1 banquet hall, air-conditioning, bridal support, event staff and generator-backed operations for weddings, receptions, walima and corporate gatherings.</t>
  </si>
  <si>
    <t>near Sabzazar, Sabzazar Block G Sabzazar Housing Scheme Phase 1 &amp; 2 Lahore, 54000</t>
  </si>
  <si>
    <t>03236344440</t>
  </si>
  <si>
    <t>03053356241</t>
  </si>
  <si>
    <t>PKR 1,700-4,000 per person</t>
  </si>
  <si>
    <t>Standard one-dish per-person estimate: chicken PKR 1,700, beef PKR 2,350 and mutton PKR 4,000. Includes climate-controlled seating, standard stage and décor coordination, bridal room, backup generator, managed parking. Rates are realistic training estimates, not confirmed quotes, and may vary by menu, date, guest count, décor scope, taxes and service charges.</t>
  </si>
  <si>
    <t>65</t>
  </si>
  <si>
    <t>Blessing Banquet Hall - Branch 2</t>
  </si>
  <si>
    <t>Blessing Banquet Hall - Branch 2 is a standard banquet hall in Sabzazar, Lahore, with an estimated seated capacity of 475 guests. The venue profile includes 1 banquet hall, air-conditioning, bridal support, event staff and generator-backed operations for weddings, receptions, walima and corporate gatherings.</t>
  </si>
  <si>
    <t>Cheema Chowk, Main Rd, Sabzazar Block C Sabzazar Housing Scheme Phase 1 &amp; 2 Lahore, 54000</t>
  </si>
  <si>
    <t>03097173209</t>
  </si>
  <si>
    <t>03059028144</t>
  </si>
  <si>
    <t>PKR 1,700-3,550 per person</t>
  </si>
  <si>
    <t>Standard one-dish per-person estimate: chicken PKR 1,700, beef PKR 2,350 and mutton PKR 3,550. Includes climate-controlled seating, standard stage and décor coordination, bridal room, backup generator, managed parking. Rates are realistic training estimates, not confirmed quotes, and may vary by menu, date, guest count, décor scope, taxes and service charges.</t>
  </si>
  <si>
    <t>66</t>
  </si>
  <si>
    <t>Kashmir Mahal Marriage Hall</t>
  </si>
  <si>
    <t>Kashmir Mahal Marriage Hall is a standard banquet hall in Sabzazar, Lahore, with an estimated seated capacity of 525 guests. The venue profile includes 1 banquet hall, air-conditioning, bridal support, event staff and generator-backed operations for weddings, receptions, walima and corporate gatherings.</t>
  </si>
  <si>
    <t>7 Civic Center Liaqat Chowk, Sabzazar Lahore, 54000</t>
  </si>
  <si>
    <t>03037700886</t>
  </si>
  <si>
    <t>03104692853</t>
  </si>
  <si>
    <t>PKR 1,600-3,950 per person</t>
  </si>
  <si>
    <t>Standard one-dish per-person estimate: chicken PKR 1,600, beef PKR 2,450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</si>
  <si>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67</t>
  </si>
  <si>
    <t>Smart Event Palace</t>
  </si>
  <si>
    <t>Smart Event Palace is a standard banquet hall in Sabzazar, Lahore, with an estimated seated capacity of 525 guests. The venue profile includes 1 banquet hall, air-conditioning, bridal support, event staff and generator-backed operations for weddings, receptions, walima and corporate gatherings.</t>
  </si>
  <si>
    <t>Block A, 81 Sabzazar Rd, Sabzazar Block A Sabzazar Housing Scheme Phase 1 &amp; 2 Lahore, 54000</t>
  </si>
  <si>
    <t>03114004004</t>
  </si>
  <si>
    <t>03170349297</t>
  </si>
  <si>
    <t>PKR 2,050-4,300 per person</t>
  </si>
  <si>
    <t>Standard one-dish per-person estimate: chicken PKR 2,050, beef PKR 2,900 and mutton PKR 4,300. Includes climate-controlled seating, standard stage and décor coordination, bridal room, backup generator, managed parking. Rates are realistic training estimates, not confirmed quotes, and may vary by menu, date, guest count, décor scope, taxes and service charges.</t>
  </si>
  <si>
    <t>68</t>
  </si>
  <si>
    <t>Faisal Event Complex</t>
  </si>
  <si>
    <t>Faisal Event Complex is a standard multi-hall banquet in Sabzazar, Lahore, with an estimated seated capacity of 575 guests. The venue profile includes 2 banquet halls, air-conditioning, bridal support, event staff and generator-backed operations for weddings, receptions, walima and corporate gatherings.</t>
  </si>
  <si>
    <t>317, 316, B Block Main Boulevard Sabzazar, Sabzazar Block B Sabzazar Housing Scheme Phase 1 &amp; 2 Lahore, 54500</t>
  </si>
  <si>
    <t>03019521622</t>
  </si>
  <si>
    <t>03412695101</t>
  </si>
  <si>
    <t>PKR 1,700-4,650 per person</t>
  </si>
  <si>
    <t>Standard one-dish per-person estimate: chicken PKR 1,700, beef PKR 2,550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</si>
  <si>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standard, multi-hall banquet, realistic package, per head pricing</t>
  </si>
  <si>
    <t>69</t>
  </si>
  <si>
    <t>Noor e Haram old Mariam Marriage Hall</t>
  </si>
  <si>
    <t>Noor e Haram old Mariam Marriage Hall is a standard banquet hall in Sabzazar, Lahore, with an estimated seated capacity of 500 guests. The venue profile includes 1 banquet hall, air-conditioning, bridal support, event staff and generator-backed operations for weddings, receptions, walima and corporate gatherings.</t>
  </si>
  <si>
    <t>Main Rd, 7 B Main Boulevard Sabzazar, Sabzazar Block B Lahore, 54000, Pakistan</t>
  </si>
  <si>
    <t>03047222242</t>
  </si>
  <si>
    <t>03134943786</t>
  </si>
  <si>
    <t>PKR 1,700-3,950 per person</t>
  </si>
  <si>
    <t>Standard one-dish per-person estimate: chicken PKR 1,700, beef PKR 2,150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</si>
  <si>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70</t>
  </si>
  <si>
    <t>Aabroo Marriage Garden</t>
  </si>
  <si>
    <t>Aabroo Marriage Garden is a standard marquee / lawn in Sabzazar, Lahore, with an estimated seated capacity of 500 guests. The venue profile includes 1 banquet hall and an outdoor lawn/marquee option, air-conditioning, bridal support, event staff and generator-backed operations for weddings, receptions, walima and corporate gatherings.</t>
  </si>
  <si>
    <t>G7FJ+3P3, Multan Rd, Shah Farid, Sabzazar Scheme</t>
  </si>
  <si>
    <t>03214023150</t>
  </si>
  <si>
    <t>03212537947</t>
  </si>
  <si>
    <t>PKR 1,800-3,750 per person</t>
  </si>
  <si>
    <t>Standard one-dish per-person estimate: chicken PKR 1,800, beef PKR 2,500 and mutton PKR 3,750.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</si>
  <si>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lawn, standard, marquee lawn, realistic package, per head pricing</t>
  </si>
  <si>
    <t>71</t>
  </si>
  <si>
    <t>Grand VIP Banquet Hall</t>
  </si>
  <si>
    <t>Grand VIP Banquet Hall is a standard multi-hall banquet in Sabzazar, Lahore, with an estimated seated capacity of 525 guests. The venue profile includes 2 banquet halls, air-conditioning, bridal support, event staff and generator-backed operations for weddings, receptions, walima and corporate gatherings.</t>
  </si>
  <si>
    <t>Civic Centre, 9, Block G, Sabzazar, Lahore, Punjab</t>
  </si>
  <si>
    <t>03174860144</t>
  </si>
  <si>
    <t>03178848751</t>
  </si>
  <si>
    <t>PKR 1,900-3,350 per person</t>
  </si>
  <si>
    <t>Standard one-dish per-person estimate: chicken PKR 1,900, beef PKR 2,350 and mutton PKR 3,350. Includes climate-controlled seating, standard stage and décor coordination, bridal room, backup generator, managed parking. Rates are realistic training estimates, not confirmed quotes, and may vary by menu, date, guest count, décor scope, taxes and service charges.</t>
  </si>
  <si>
    <t>72</t>
  </si>
  <si>
    <t>Madina Center &amp; Marriage Hall</t>
  </si>
  <si>
    <t>Madina Center &amp; Marriage Hall is a standard banquet hall in Sabzazar, Lahore, with an estimated seated capacity of 475 guests. The venue profile includes 1 banquet hall, air-conditioning, bridal support, event staff and generator-backed operations for weddings, receptions, walima and corporate gatherings.</t>
  </si>
  <si>
    <t>G7C9+HHJ, Sabzazar Stadium Rd, Sabzazar Block G Sabzazar Housing Scheme Phase 1 &amp; 2 Lahore, 54000</t>
  </si>
  <si>
    <t>03234465985</t>
  </si>
  <si>
    <t>03245834304</t>
  </si>
  <si>
    <t>PKR 1,900-3,600 per person</t>
  </si>
  <si>
    <t>Standard one-dish per-person estimate: chicken PKR 1,900, beef PKR 2,600 and mutton PKR 3,600. Includes climate-controlled seating, standard stage and décor coordination, bridal room, backup generator. Rates are realistic training estimates, not confirmed quotes, and may vary by menu, date, guest count, décor scope, taxes and service charges.</t>
  </si>
  <si>
    <t>73</t>
  </si>
  <si>
    <t>Al-Hamd Marriage Hall</t>
  </si>
  <si>
    <t>Al-Hamd Marriage Hall is a standard banquet hall in Sabzazar, Lahore, with an estimated seated capacity of 500 guests. The venue profile includes 1 banquet hall, air-conditioning, bridal support, event staff and generator-backed operations for weddings, receptions, walima and corporate gatherings.</t>
  </si>
  <si>
    <t>304 Main Boulevard Sabzazar, Sabzazar Block G Sabzazar Housing Scheme Phase 1 &amp; 2 Lahore, 54000</t>
  </si>
  <si>
    <t>03347971961</t>
  </si>
  <si>
    <t>PKR 1,750-4,550 per person</t>
  </si>
  <si>
    <t>Standard one-dish per-person estimate: chicken PKR 1,750, beef PKR 2,700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</si>
  <si>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74</t>
  </si>
  <si>
    <t>White Palace Marriage and Banquet Hall</t>
  </si>
  <si>
    <t>White Palace Marriage and Banquet Hall is a premium banquet hall in Sabzazar, Lahore, with an estimated seated capacity of 475 guests. The venue profile includes 1 banquet hall, air-conditioning, bridal support, event staff and generator-backed operations for weddings, receptions, walima and corporate gatherings.</t>
  </si>
  <si>
    <t>Liaqat Chowk, Sabzazar Block G Sabzazar Housing Scheme Phase 1 &amp; 2 Lahore, 54000</t>
  </si>
  <si>
    <t>03034765496</t>
  </si>
  <si>
    <t>03052939452</t>
  </si>
  <si>
    <t>Premium one-dish per-person estimate: chicken PKR 2,200, beef PKR 2,950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</si>
  <si>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premium, realistic package, per head pricing</t>
  </si>
  <si>
    <t>75</t>
  </si>
  <si>
    <t>Madina Banquet Hall</t>
  </si>
  <si>
    <t>Traditional, Budget</t>
  </si>
  <si>
    <t>Madina Banquet Hall is a budget banquet hall in Sabzazar, Lahore, with an estimated seated capacity of 550 guests. The venue profile includes 1 banquet hall, air-conditioning, bridal support, event staff and generator-backed operations for weddings, receptions, walima and corporate gatherings.</t>
  </si>
  <si>
    <t>03004423282</t>
  </si>
  <si>
    <t>PKR 1,400-3,350 per person</t>
  </si>
  <si>
    <t>Budget one-dish per-person estimate: chicken PKR 1,400, beef PKR 2,150 and mutton PKR 3,350.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</si>
  <si>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budget, realistic package, per head pricing</t>
  </si>
  <si>
    <t>Budget</t>
  </si>
  <si>
    <t>76</t>
  </si>
  <si>
    <t>Al Karim Marquee</t>
  </si>
  <si>
    <t>Al Karim Marquee is a standard marquee / lawn in Sabzazar, Lahore, with an estimated seated capacity of 525 guests. The venue profile includes 1 banquet hall and an outdoor lawn/marquee option, air-conditioning, bridal support, event staff and generator-backed operations for weddings, receptions, walima and corporate gatherings.</t>
  </si>
  <si>
    <t>G7C9+R84, Sabzazar Block G Sabzazar Housing Scheme Phase 1 &amp; 2 Lahore, 54000</t>
  </si>
  <si>
    <t>03219457254</t>
  </si>
  <si>
    <t>03352085873</t>
  </si>
  <si>
    <t>PKR 1,850-4,100 per person</t>
  </si>
  <si>
    <t>Standard one-dish per-person estimate: chicken PKR 1,850, beef PKR 2,300 and mutton PKR 4,100.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</si>
  <si>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marquee, lawn, standard, marquee lawn, realistic package, per head pricing</t>
  </si>
  <si>
    <t>77</t>
  </si>
  <si>
    <t>Shah Farid Marriage Hall</t>
  </si>
  <si>
    <t>Shah Farid Marriage Hall is a standard banquet hall in Sabzazar, Lahore, with an estimated seated capacity of 475 guests. The venue profile includes 1 banquet hall, air-conditioning, bridal support, event staff and generator-backed operations for weddings, receptions, walima and corporate gatherings.</t>
  </si>
  <si>
    <t>306 B Main Boulevard Sabzazar, Sabzazar Block B Sabzazar Housing Scheme Phase 1 &amp; 2 Lahore, 54000</t>
  </si>
  <si>
    <t>03004474619</t>
  </si>
  <si>
    <t>03109460117</t>
  </si>
  <si>
    <t>PKR 1,850-4,400 per person</t>
  </si>
  <si>
    <t>Standard one-dish per-person estimate: chicken PKR 1,850, beef PKR 2,600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</si>
  <si>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78</t>
  </si>
  <si>
    <t>Aiwan-e-Noor Event Complex</t>
  </si>
  <si>
    <t>Aiwan-e-Noor Event Complex is a budget multi-hall banquet in Sabzazar, Lahore, with an estimated seated capacity of 475 guests. The venue profile includes 2 banquet halls, air-conditioning, bridal support, event staff and generator-backed operations for weddings, receptions, walima and corporate gatherings.</t>
  </si>
  <si>
    <t>Plot No. 84-85, Civic Center, opposite Cricket Stadium, Sabzazar Block G Sabzazar Housing Scheme Phase 1 &amp; 2 Lahore</t>
  </si>
  <si>
    <t>04237495858</t>
  </si>
  <si>
    <t>03089675093</t>
  </si>
  <si>
    <t>PKR 1,550-3,950 per person</t>
  </si>
  <si>
    <t>Budget one-dish per-person estimate: chicken PKR 1,550, beef PKR 2,300 and mutton PKR 3,950.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</si>
  <si>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sabzazar, traditional, budget, multi-hall banquet, realistic package, per head pricing</t>
  </si>
  <si>
    <t>79</t>
  </si>
  <si>
    <t>Grand Sapphire Event Complex Lahore</t>
  </si>
  <si>
    <t>Grand Sapphire Event Complex Lahore is a premium multi-hall banquet in Allama Iqbal Town, Lahore, with an estimated seated capacity of 475 guests. The venue profile includes 2 banquet halls, air-conditioning, bridal support, event staff and generator-backed operations for weddings, receptions, walima and corporate gatherings.</t>
  </si>
  <si>
    <t>805 Ravi Block Allama Iqbal Town Multan, Road, Lahore</t>
  </si>
  <si>
    <t>Allama Iqbal Town</t>
  </si>
  <si>
    <t>03210829829</t>
  </si>
  <si>
    <t>03357487905</t>
  </si>
  <si>
    <t>PKR 2,200-4,650 per person</t>
  </si>
  <si>
    <t>Premium one-dish per-person estimate: chicken PKR 2,200, beef PKR 3,000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</si>
  <si>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allama iqbal town, traditional, premium, multi-hall banquet, realistic package, per head pricing</t>
  </si>
  <si>
    <t>80</t>
  </si>
  <si>
    <t>Couples Banquet Hall</t>
  </si>
  <si>
    <t>Couples Banquet Hall is a standard banquet hall in Sabzazar, Lahore, with an estimated seated capacity of 475 guests. The venue profile includes 1 banquet hall, air-conditioning, bridal support, event staff and generator-backed operations for weddings, receptions, walima and corporate gatherings.</t>
  </si>
  <si>
    <t>G7FM+VF5, Multan Rd, Muslim Block Allama Iqbal Town, Lahore, 54570</t>
  </si>
  <si>
    <t>03234403805</t>
  </si>
  <si>
    <t>03001287580</t>
  </si>
  <si>
    <t>PKR 1,850-4,000 per person</t>
  </si>
  <si>
    <t>Standard one-dish per-person estimate: chicken PKR 1,850, beef PKR 2,550 and mutton PKR 4,000. Includes climate-controlled seating, standard stage and décor coordination, bridal room, backup generator. Rates are realistic training estimates, not confirmed quotes, and may vary by menu, date, guest count, décor scope, taxes and service charges.</t>
  </si>
  <si>
    <t>81</t>
  </si>
  <si>
    <t>Lahore Garden Banquet Hall</t>
  </si>
  <si>
    <t>Lahore Garden Banquet Hall is a standard marquee / lawn in Sabzazar, Lahore, with an estimated seated capacity of 700 guests. The venue profile includes 1 banquet hall and an outdoor lawn/marquee option, air-conditioning, bridal support, event staff and generator-backed operations for weddings, receptions, walima and corporate gatherings.</t>
  </si>
  <si>
    <t>294 Main Boulevard, Sabzazar, Lahore, 54500</t>
  </si>
  <si>
    <t>03148729661</t>
  </si>
  <si>
    <t>03222816141</t>
  </si>
  <si>
    <t>PKR 1,650-3,850 per person</t>
  </si>
  <si>
    <t>Standard one-dish per-person estimate: chicken PKR 1,650, beef PKR 2,200 and mutton PKR 3,850.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</si>
  <si>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large capacity, lawn, standard, marquee lawn, realistic package, per head pricing</t>
  </si>
  <si>
    <t>82</t>
  </si>
  <si>
    <t>Royal City Marquee</t>
  </si>
  <si>
    <t>Royal City Marquee is a premium marquee / lawn in Raiwind Road, Lahore, with an estimated seated capacity of 750 guests. The venue profile includes 1 banquet hall and an outdoor lawn/marquee option, air-conditioning, bridal support, event staff and generator-backed operations for weddings, receptions, walima and corporate gatherings.</t>
  </si>
  <si>
    <t>Adda Plot, Raiwind Road, Lahore, 54000</t>
  </si>
  <si>
    <t>03442543875</t>
  </si>
  <si>
    <t>03000292713</t>
  </si>
  <si>
    <t>PKR 2,300-4,850 per person</t>
  </si>
  <si>
    <t>Premium one-dish per-person estimate: chicken PKR 2,300, beef PKR 3,250 and mutton PKR 4,850.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</si>
  <si>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83</t>
  </si>
  <si>
    <t>Crystal Events Banquet</t>
  </si>
  <si>
    <t>Crystal Events Banquet is a standard banquet hall in Sabzazar, Lahore, with an estimated seated capacity of 675 guests. The venue profile includes 1 banquet hall, air-conditioning, bridal support, event staff and generator-backed operations for weddings, receptions, walima and corporate gatherings.</t>
  </si>
  <si>
    <t>Civic Centre, Block B, Sabzazar, Lahore, 54000</t>
  </si>
  <si>
    <t>03267748767</t>
  </si>
  <si>
    <t>03440435997</t>
  </si>
  <si>
    <t>PKR 1,650-4,250 per person</t>
  </si>
  <si>
    <t>Standard one-dish per-person estimate: chicken PKR 1,650, beef PKR 2,400 and mutton PKR 4,250. Includes climate-controlled seating, standard stage and décor coordination, bridal room, backup generator, managed parking. Rates are realistic training estimates, not confirmed quotes, and may vary by menu, date, guest count, décor scope, taxes and service charges.</t>
  </si>
  <si>
    <t>84</t>
  </si>
  <si>
    <t>Green Palace Marriage Hall</t>
  </si>
  <si>
    <t>Green Palace Marriage Hall is a premium banquet hall in Garden Town, Lahore, with an estimated seated capacity of 500 guests. The venue profile includes 1 banquet hall, air-conditioning, bridal support, event staff and generator-backed operations for weddings, receptions, walima and corporate gatherings.</t>
  </si>
  <si>
    <t>46 Babar Block, Garden Town, Lahore, 54700</t>
  </si>
  <si>
    <t>03103931429</t>
  </si>
  <si>
    <t>03168767316</t>
  </si>
  <si>
    <t>PKR 2,450-5,300 per person</t>
  </si>
  <si>
    <t>Premium one-dish per-person estimate: chicken PKR 2,450, beef PKR 3,350 and mutton PKR 5,300. Includes climate-controlled seating, standard stage and décor coordination, bridal room, backup generator. Rates are realistic training estimates, not confirmed quotes, and may vary by menu, date, guest count, décor scope, taxes and service charges.</t>
  </si>
  <si>
    <t>85</t>
  </si>
  <si>
    <t>City Marriage Hall</t>
  </si>
  <si>
    <t>City Marriage Hall is a premium banquet hall in Johar Town, Lahore, with an estimated seated capacity of 675 guests. The venue profile includes 1 banquet hall, air-conditioning, bridal support, event staff and generator-backed operations for weddings, receptions, walima and corporate gatherings.</t>
  </si>
  <si>
    <t>Plot 491, Block D, Phase 1 Johar Town, Lahore, 54000</t>
  </si>
  <si>
    <t>03462902071</t>
  </si>
  <si>
    <t>04232832537</t>
  </si>
  <si>
    <t>PKR 2,300-4,600 per person</t>
  </si>
  <si>
    <t>Premium one-dish per-person estimate: chicken PKR 2,300, beef PKR 2,800 and mutton PKR 4,600. Includes climate-controlled seating, standard stage and décor coordination, bridal room, backup generator, managed parking. Rates are realistic training estimates, not confirmed quotes, and may vary by menu, date, guest count, décor scope, taxes and service charges.</t>
  </si>
  <si>
    <t>86</t>
  </si>
  <si>
    <t>Rajpoot marriage hall</t>
  </si>
  <si>
    <t>Rajpoot marriage hall is a standard banquet hall in Model Town, Lahore, with an estimated seated capacity of 475 guests. The venue profile includes 1 banquet hall, air-conditioning, bridal support, event staff and generator-backed operations for weddings, receptions, walima and corporate gatherings.</t>
  </si>
  <si>
    <t>383 Block K, Model Town, Lahore, 54000</t>
  </si>
  <si>
    <t>03448876188</t>
  </si>
  <si>
    <t>03351109575</t>
  </si>
  <si>
    <t>PKR 1,950-4,200 per person</t>
  </si>
  <si>
    <t>Standard one-dish per-person estimate: chicken PKR 1,950, beef PKR 2,550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</si>
  <si>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model town, traditional, standard, realistic package, per head pricing</t>
  </si>
  <si>
    <t>87</t>
  </si>
  <si>
    <t>Gulzar's Event Complex</t>
  </si>
  <si>
    <t>Gulzar's Event Complex is a standard multi-hall banquet in Sabzazar, Lahore, with an estimated seated capacity of 850 guests. The venue profile includes 2 banquet halls, air-conditioning, bridal support, event staff and generator-backed operations for weddings, receptions, walima and corporate gatherings.</t>
  </si>
  <si>
    <t>Civic Centre, Block A, Sabzazar, Lahore, 54000</t>
  </si>
  <si>
    <t>03012744835</t>
  </si>
  <si>
    <t>03125770705</t>
  </si>
  <si>
    <t>PKR 1,750-3,700 per person</t>
  </si>
  <si>
    <t>Standard one-dish per-person estimate: chicken PKR 1,750, beef PKR 2,600 and mutton PKR 3,700.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</si>
  <si>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large capacity, standard, multi-hall banquet, realistic package, per head pricing</t>
  </si>
  <si>
    <t>88</t>
  </si>
  <si>
    <t>Rhythm Hall, Wedding Halls</t>
  </si>
  <si>
    <t>Rhythm Hall, Wedding Halls is a standard banquet hall in Township, Lahore, with an estimated seated capacity of 475 guests. The venue profile includes 1 banquet hall, air-conditioning, bridal support, event staff and generator-backed operations for weddings, receptions, walima and corporate gatherings.</t>
  </si>
  <si>
    <t>610 Shah Jilani Road, Township, Lahore, 54770</t>
  </si>
  <si>
    <t>03122315698</t>
  </si>
  <si>
    <t>03113440690</t>
  </si>
  <si>
    <t>PKR 2,000-4,350 per person</t>
  </si>
  <si>
    <t>Standard one-dish per-person estimate: chicken PKR 2,000, beef PKR 2,800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</si>
  <si>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89</t>
  </si>
  <si>
    <t>Anas Marriage Hall</t>
  </si>
  <si>
    <t>Anas Marriage Hall is a standard banquet hall in Johar Town, Lahore, with an estimated seated capacity of 475 guests. The venue profile includes 1 banquet hall, air-conditioning, bridal support, event staff and generator-backed operations for weddings, receptions, walima and corporate gatherings.</t>
  </si>
  <si>
    <t>Plot 209, Block B, Phase 1 Johar Town, Lahore, 54000</t>
  </si>
  <si>
    <t>03023567792</t>
  </si>
  <si>
    <t>03018216110</t>
  </si>
  <si>
    <t>PKR 1,800-4,350 per person</t>
  </si>
  <si>
    <t>Standard one-dish per-person estimate: chicken PKR 1,800, beef PKR 2,550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</si>
  <si>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90</t>
  </si>
  <si>
    <t>Bismillah - Javaid Marriage Hall</t>
  </si>
  <si>
    <t>Bismillah - Javaid Marriage Hall is a standard banquet hall in Marghzar, Lahore, with an estimated seated capacity of 350 guests. The venue profile includes 1 banquet hall, air-conditioning, bridal support, event staff and generator-backed operations for weddings, receptions, walima and corporate gatherings.</t>
  </si>
  <si>
    <t>Near Marghzar Park, Shadiwal, Lahore</t>
  </si>
  <si>
    <t>03148974482</t>
  </si>
  <si>
    <t>03123015039</t>
  </si>
  <si>
    <t>PKR 1,750-3,650 per person</t>
  </si>
  <si>
    <t>Standard one-dish per-person estimate: chicken PKR 1,750, beef PKR 2,200 and mutton PKR 3,650.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</si>
  <si>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marghzar, traditional, standard, realistic package, per head pricing</t>
  </si>
  <si>
    <t>91</t>
  </si>
  <si>
    <t>Ever Fine Marriage Hall</t>
  </si>
  <si>
    <t>Ever Fine Marriage Hall is a premium banquet hall in Gulberg, Lahore, with an estimated seated capacity of 350 guests. The venue profile includes 1 banquet hall, air-conditioning, bridal support, event staff and generator-backed operations for weddings, receptions, walima and corporate gatherings.</t>
  </si>
  <si>
    <t>45 Kalma Chowk Road, Gulberg III, Lahore, 54000</t>
  </si>
  <si>
    <t>03049224652</t>
  </si>
  <si>
    <t>03118668529</t>
  </si>
  <si>
    <t>PKR 2,450-4,000 per person</t>
  </si>
  <si>
    <t>Premium one-dish per-person estimate: chicken PKR 2,450, beef PKR 2,900 and mutton PKR 4,000. Includes climate-controlled seating, standard stage and décor coordination, bridal room, backup generator. Rates are realistic training estimates, not confirmed quotes, and may vary by menu, date, guest count, décor scope, taxes and service charges.</t>
  </si>
  <si>
    <t>92</t>
  </si>
  <si>
    <t>Haris Marriage Hall</t>
  </si>
  <si>
    <t>Haris Marriage Hall is a standard marquee / lawn in Raiwind Road, Lahore, with an estimated seated capacity of 600 guests. The venue profile includes 1 banquet hall and an outdoor lawn/marquee option, air-conditioning, bridal support, event staff and generator-backed operations for weddings, receptions, walima and corporate gatherings.</t>
  </si>
  <si>
    <t>9 km Raiwind Road, Lahore, 54000</t>
  </si>
  <si>
    <t>03343341556</t>
  </si>
  <si>
    <t>03023335735</t>
  </si>
  <si>
    <t>PKR 1,850-3,700 per person</t>
  </si>
  <si>
    <t>Standard one-dish per-person estimate: chicken PKR 1,850, beef PKR 2,250 and mutton PKR 3,700.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</si>
  <si>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raiwind road, traditional, lawn, standard, marquee lawn, realistic package, per head pricing</t>
  </si>
  <si>
    <t>93</t>
  </si>
  <si>
    <t>Ewan-e-Noor</t>
  </si>
  <si>
    <t>Ewan-e-Noor is a standard banquet hall in Sabzazar, Lahore, with an estimated seated capacity of 500 guests. The venue profile includes 1 banquet hall, air-conditioning, bridal support, event staff and generator-backed operations for weddings, receptions, walima and corporate gatherings.</t>
  </si>
  <si>
    <t>138 Main Boulevard, Sabzazar, Lahore, 54500</t>
  </si>
  <si>
    <t>03125286278</t>
  </si>
  <si>
    <t>03168191755</t>
  </si>
  <si>
    <t>PKR 1,950-3,600 per person</t>
  </si>
  <si>
    <t>Standard one-dish per-person estimate: chicken PKR 1,950, beef PKR 2,400 and mutton PKR 3,600. Includes climate-controlled seating, standard stage and décor coordination, bridal room, backup generator. Rates are realistic training estimates, not confirmed quotes, and may vary by menu, date, guest count, décor scope, taxes and service charges.</t>
  </si>
  <si>
    <t>94</t>
  </si>
  <si>
    <t>D-Lite Banquet Hall</t>
  </si>
  <si>
    <t>D-Lite Banquet Hall is a standard banquet hall in Gulberg, Lahore, with an estimated seated capacity of 525 guests. The venue profile includes 1 banquet hall, air-conditioning, bridal support, event staff and generator-backed operations for weddings, receptions, walima and corporate gatherings.</t>
  </si>
  <si>
    <t>Plot 189, Main Boulevard Gulberg III, Lahore, 54660</t>
  </si>
  <si>
    <t>03213338369</t>
  </si>
  <si>
    <t>03165841786</t>
  </si>
  <si>
    <t>Standard one-dish per-person estimate: chicken PKR 2,050, beef PKR 2,800 and mutton PKR 4,300.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</si>
  <si>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gulberg, traditional, gulberg (iii), standard, realistic package, per head pricing</t>
  </si>
  <si>
    <t>95</t>
  </si>
  <si>
    <t>Azeez Marriage Hall</t>
  </si>
  <si>
    <t>Azeez Marriage Hall is a premium club / garrison venue in Cantt, Lahore, with an estimated seated capacity of 325 guests. The venue profile includes 1 banquet hall, air-conditioning, bridal support, event staff and generator-backed operations for weddings, receptions, walima and corporate gatherings.</t>
  </si>
  <si>
    <t>Hall No. 16, Garrison Golf &amp; Country Club, Saddar Town, Lahore, 54810</t>
  </si>
  <si>
    <t>03452634255</t>
  </si>
  <si>
    <t>03418944086</t>
  </si>
  <si>
    <t>PKR 2,400-4,400 per person</t>
  </si>
  <si>
    <t>Premium one-dish per-person estimate: chicken PKR 2,400, beef PKR 3,250 and mutton PKR 4,400. Includes climate-controlled seating, standard stage and décor coordination, bridal room, backup generator. Rates are realistic training estimates, not confirmed quotes, and may vary by menu, date, guest count, décor scope, taxes and service charges.</t>
  </si>
  <si>
    <t>96</t>
  </si>
  <si>
    <t>Quraish Banquet Hall</t>
  </si>
  <si>
    <t>Quraish Banquet Hall is a premium banquet hall in Model Town, Lahore, with an estimated seated capacity of 475 guests. The venue profile includes 1 banquet hall, air-conditioning, bridal support, event staff and generator-backed operations for weddings, receptions, walima and corporate gatherings.</t>
  </si>
  <si>
    <t>Plot 529, Main Boulevard Model Town, Lahore, 54000</t>
  </si>
  <si>
    <t>03213742904</t>
  </si>
  <si>
    <t>03233838185</t>
  </si>
  <si>
    <t>PKR 2,250-4,600 per person</t>
  </si>
  <si>
    <t>Premium one-dish per-person estimate: chicken PKR 2,250, beef PKR 3,100 and mutton PKR 4,600. Includes climate-controlled seating, standard stage and décor coordination, bridal room, backup generator, managed parking. Rates are realistic training estimates, not confirmed quotes, and may vary by menu, date, guest count, décor scope, taxes and service charges.</t>
  </si>
  <si>
    <t>97</t>
  </si>
  <si>
    <t>Shahjahani Marriage Hall</t>
  </si>
  <si>
    <t>Shahjahani Marriage Hall is a premium banquet hall in Johar Town, Lahore, with an estimated seated capacity of 600 guests. The venue profile includes 1 banquet hall, air-conditioning, bridal support, event staff and generator-backed operations for weddings, receptions, walima and corporate gatherings.</t>
  </si>
  <si>
    <t>160 Maulana Shaukat Ali Road, Johar Town, Lahore, 54000</t>
  </si>
  <si>
    <t>03131238533</t>
  </si>
  <si>
    <t>03216559987</t>
  </si>
  <si>
    <t>PKR 2,200-4,050 per person</t>
  </si>
  <si>
    <t>Premium one-dish per-person estimate: chicken PKR 2,200, beef PKR 2,950 and mutton PKR 4,050. Includes climate-controlled seating, standard stage and décor coordination, bridal room, backup generator, managed parking. Rates are realistic training estimates, not confirmed quotes, and may vary by menu, date, guest count, décor scope, taxes and service charges.</t>
  </si>
  <si>
    <t>98</t>
  </si>
  <si>
    <t>The Garden by Mughal e Azam</t>
  </si>
  <si>
    <t>The Garden by Mughal e Azam is a premium marquee / lawn in Johar Town, Lahore, with an estimated seated capacity of 1,025 guests. The venue profile includes 3 banquet halls and an outdoor lawn/marquee option, air-conditioning, bridal support, event staff and generator-backed operations for weddings, receptions, walima and corporate gatherings.</t>
  </si>
  <si>
    <t>Plot 535, Block F, Phase 1 Johar Town, Lahore, 54000</t>
  </si>
  <si>
    <t>03024944283</t>
  </si>
  <si>
    <t>03269726255</t>
  </si>
  <si>
    <t>PKR 2,350-4,950 per person</t>
  </si>
  <si>
    <t>Premium one-dish per-person estimate: chicken PKR 2,350, beef PKR 3,100 and mutton PKR 4,950.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</si>
  <si>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99</t>
  </si>
  <si>
    <t>Husnain Open Marriage Hall</t>
  </si>
  <si>
    <t>Husnain Open Marriage Hall is a standard marquee / lawn in Johar Town, Lahore, with an estimated seated capacity of 750 guests. The venue profile includes 1 banquet hall and an outdoor lawn/marquee option, air-conditioning, bridal support, event staff and generator-backed operations for weddings, receptions, walima and corporate gatherings.</t>
  </si>
  <si>
    <t>Plot 104, Block L, Phase 2 Johar Town, Lahore, 54000</t>
  </si>
  <si>
    <t>03011471586</t>
  </si>
  <si>
    <t>03359133240</t>
  </si>
  <si>
    <t>PKR 2,150-3,800 per person</t>
  </si>
  <si>
    <t>Standard one-dish per-person estimate: chicken PKR 2,150, beef PKR 2,650 and mutton PKR 3,800.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</si>
  <si>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large capacity, lawn, standard, marquee lawn, realistic package, per head pricing</t>
  </si>
  <si>
    <t>100</t>
  </si>
  <si>
    <t>Royal Marriage hall</t>
  </si>
  <si>
    <t>Royal Marriage hall is a premium banquet hall in Johar Town, Lahore, with an estimated seated capacity of 475 guests. The venue profile includes 1 banquet hall, air-conditioning, bridal support, event staff and generator-backed operations for weddings, receptions, walima and corporate gatherings.</t>
  </si>
  <si>
    <t>Plot 234, Block D, Phase 2 Johar Town, Lahore, 54000</t>
  </si>
  <si>
    <t>03332420636</t>
  </si>
  <si>
    <t>03059052211</t>
  </si>
  <si>
    <t>Premium one-dish per-person estimate: chicken PKR 2,350, beef PKR 3,100 and mutton PKR 4,500. Includes climate-controlled seating, standard stage and décor coordination, bridal room, backup generator, managed parking. Rates are realistic training estimates, not confirmed quotes, and may vary by menu, date, guest count, décor scope, taxes and service charges.</t>
  </si>
  <si>
    <t>101</t>
  </si>
  <si>
    <t>Nazir Marriage Hall</t>
  </si>
  <si>
    <t>Nazir Marriage Hall is a standard banquet hall in Johar Town, Lahore, with an estimated seated capacity of 350 guests. The venue profile includes 1 banquet hall, air-conditioning, bridal support, event staff and generator-backed operations for weddings, receptions, walima and corporate gatherings.</t>
  </si>
  <si>
    <t>Civic Centre, Block K, Johar Town, Lahore, 54770</t>
  </si>
  <si>
    <t>03122527597</t>
  </si>
  <si>
    <t>03266498945</t>
  </si>
  <si>
    <t>PKR 2,150-4,000 per person</t>
  </si>
  <si>
    <t>Standard one-dish per-person estimate: chicken PKR 2,150, beef PKR 3,000 and mutton PKR 4,000. Includes climate-controlled seating, standard stage and décor coordination, bridal room, backup generator. Rates are realistic training estimates, not confirmed quotes, and may vary by menu, date, guest count, décor scope, taxes and service charges.</t>
  </si>
  <si>
    <t>102</t>
  </si>
  <si>
    <t>Ali Marriage Hall</t>
  </si>
  <si>
    <t>Ali Marriage Hall is a standard banquet hall in Marghzar, Lahore, with an estimated seated capacity of 625 guests. The venue profile includes 1 banquet hall, air-conditioning, bridal support, event staff and generator-backed operations for weddings, receptions, walima and corporate gatherings.</t>
  </si>
  <si>
    <t>490 Main Road, Marghzar Colony, Lahore</t>
  </si>
  <si>
    <t>03128262630</t>
  </si>
  <si>
    <t>03443645692</t>
  </si>
  <si>
    <t>PKR 1,800-4,100 per person</t>
  </si>
  <si>
    <t>Standard one-dish per-person estimate: chicken PKR 1,800, beef PKR 2,250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</si>
  <si>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103</t>
  </si>
  <si>
    <t>Anam Marriage Hall</t>
  </si>
  <si>
    <t>Anam Marriage Hall is a standard banquet hall in Johar Town, Lahore, with an estimated seated capacity of 450 guests. The venue profile includes 1 banquet hall, air-conditioning, bridal support, event staff and generator-backed operations for weddings, receptions, walima and corporate gatherings.</t>
  </si>
  <si>
    <t>Plot 107, Block K, Phase 2 Johar Town, Lahore, 54000</t>
  </si>
  <si>
    <t>03048464872</t>
  </si>
  <si>
    <t>03005559815</t>
  </si>
  <si>
    <t>PKR 1,750-4,500 per person</t>
  </si>
  <si>
    <t>Standard one-dish per-person estimate: chicken PKR 1,750, beef PKR 2,500 and mutton PKR 4,500. Includes climate-controlled seating, standard stage and décor coordination, bridal room, backup generator. Rates are realistic training estimates, not confirmed quotes, and may vary by menu, date, guest count, décor scope, taxes and service charges.</t>
  </si>
  <si>
    <t>104</t>
  </si>
  <si>
    <t>Al Noor Marriage Hall</t>
  </si>
  <si>
    <t>Al Noor Marriage Hall is a premium club / garrison venue in Cantt, Lahore, with an estimated seated capacity of 550 guests. The venue profile includes 1 banquet hall, air-conditioning, bridal support, event staff and generator-backed operations for weddings, receptions, walima and corporate gatherings.</t>
  </si>
  <si>
    <t>390 Khursheed Alam Road, Cavalry Ground, Lahore, 54810</t>
  </si>
  <si>
    <t>03026036537</t>
  </si>
  <si>
    <t>03345062686</t>
  </si>
  <si>
    <t>PKR 2,400-4,750 per person</t>
  </si>
  <si>
    <t>Premium one-dish per-person estimate: chicken PKR 2,400, beef PKR 3,350 and mutton PKR 4,750. Includes climate-controlled seating, standard stage and décor coordination, bridal room, backup generator, managed parking. Rates are realistic training estimates, not confirmed quotes, and may vary by menu, date, guest count, décor scope, taxes and service charges.</t>
  </si>
  <si>
    <t>105</t>
  </si>
  <si>
    <t>Dua Marriage Hall</t>
  </si>
  <si>
    <t>Dua Marriage Hall is a budget banquet hall in Marghzar, Lahore, with an estimated seated capacity of 350 guests. The venue profile includes 1 banquet hall, air-conditioning, bridal support, event staff and generator-backed operations for weddings, receptions, walima and corporate gatherings.</t>
  </si>
  <si>
    <t>03114665093</t>
  </si>
  <si>
    <t>03177216286</t>
  </si>
  <si>
    <t>PKR 1,400-3,400 per person</t>
  </si>
  <si>
    <t>Budget one-dish per-person estimate: chicken PKR 1,400, beef PKR 1,900 and mutton PKR 3,400.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</si>
  <si>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marghzar, traditional, budget, realistic package, per head pricing</t>
  </si>
  <si>
    <t>106</t>
  </si>
  <si>
    <t>Dream Palace Marriage Halls</t>
  </si>
  <si>
    <t>Dream Palace Marriage Halls is a premium banquet hall in Garden Town, Lahore, with an estimated seated capacity of 475 guests. The venue profile includes 1 banquet hall, air-conditioning, bridal support, event staff and generator-backed operations for weddings, receptions, walima and corporate gatherings.</t>
  </si>
  <si>
    <t>335 Babar Block, Garden Town, Lahore, 54700</t>
  </si>
  <si>
    <t>03455305403</t>
  </si>
  <si>
    <t>03239287915</t>
  </si>
  <si>
    <t>PKR 2,450-4,300 per person</t>
  </si>
  <si>
    <t>Premium one-dish per-person estimate: chicken PKR 2,450, beef PKR 2,950 and mutton PKR 4,300. Includes climate-controlled seating, standard stage and décor coordination, bridal room, backup generator. Rates are realistic training estimates, not confirmed quotes, and may vary by menu, date, guest count, décor scope, taxes and service charges.</t>
  </si>
  <si>
    <t>107</t>
  </si>
  <si>
    <t>Ahmad Marquee</t>
  </si>
  <si>
    <t>Ahmad Marquee is a standard marquee / lawn in Sabzazar, Lahore, with an estimated seated capacity of 925 guests. The venue profile includes 2 banquet halls and an outdoor lawn/marquee option, air-conditioning, bridal support, event staff and generator-backed operations for weddings, receptions, walima and corporate gatherings.</t>
  </si>
  <si>
    <t>03128969450</t>
  </si>
  <si>
    <t>03135036421</t>
  </si>
  <si>
    <t>PKR 1,800-3,850 per person</t>
  </si>
  <si>
    <t>Standard one-dish per-person estimate: chicken PKR 1,800, beef PKR 2,350 and mutton PKR 3,850.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</si>
  <si>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marquee, large capacity, lawn, standard, marquee lawn, realistic package, per head pricing</t>
  </si>
  <si>
    <t>108</t>
  </si>
  <si>
    <t>Happy Wedding Marquee</t>
  </si>
  <si>
    <t>Happy Wedding Marquee is a premium club / garrison venue in Cantt, Lahore, with an estimated seated capacity of 675 guests. The venue profile includes 1 banquet hall and an outdoor lawn/marquee option, air-conditioning, bridal support, event staff and generator-backed operations for weddings, receptions, walima and corporate gatherings.</t>
  </si>
  <si>
    <t>Near Army Museum, Saddar Cantt, Lahore, 54000</t>
  </si>
  <si>
    <t>03462927002</t>
  </si>
  <si>
    <t>03083982550</t>
  </si>
  <si>
    <t>PKR 2,600-4,750 per person</t>
  </si>
  <si>
    <t>Premium one-dish per-person estimate: chicken PKR 2,600, beef PKR 3,100 and mutton PKR 4,750.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</si>
  <si>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cantt, traditional, marquee, large capacity, lawn, cantt (cavalry ground, saddar, etc.), premium, club garrison venue, realistic package, per head pricing</t>
  </si>
  <si>
    <t>109</t>
  </si>
  <si>
    <t>Sichuan Marriage Garden</t>
  </si>
  <si>
    <t>Sichuan Marriage Garden is a standard marquee / lawn in Sabzazar, Lahore, with an estimated seated capacity of 675 guests. The venue profile includes 1 banquet hall and an outdoor lawn/marquee option, air-conditioning, bridal support, event staff and generator-backed operations for weddings, receptions, walima and corporate gatherings.</t>
  </si>
  <si>
    <t>Plot 225, Block H, Sabzazar Housing Scheme, Lahore, 54000</t>
  </si>
  <si>
    <t>03173473577</t>
  </si>
  <si>
    <t>03087626974</t>
  </si>
  <si>
    <t>PKR 1,650-3,700 per person</t>
  </si>
  <si>
    <t>Standard one-dish per-person estimate: chicken PKR 1,650, beef PKR 2,400 and mutton PKR 3,700.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</si>
  <si>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110</t>
  </si>
  <si>
    <t>Mughal Marriage Hall</t>
  </si>
  <si>
    <t>Mughal Marriage Hall is a premium club / garrison venue in Cantt, Lahore, with an estimated seated capacity of 625 guests. The venue profile includes 2 banquet halls, air-conditioning, bridal support, event staff and generator-backed operations for weddings, receptions, walima and corporate gatherings.</t>
  </si>
  <si>
    <t>218 Khursheed Alam Road, Cavalry Ground, Lahore, 54810</t>
  </si>
  <si>
    <t>03132060748</t>
  </si>
  <si>
    <t>03225754501</t>
  </si>
  <si>
    <t>PKR 2,200-4,250 per person</t>
  </si>
  <si>
    <t>Premium one-dish per-person estimate: chicken PKR 2,200, beef PKR 2,950 and mutton PKR 4,250. Includes climate-controlled seating, standard stage and décor coordination, bridal room, backup generator, managed parking. Rates are realistic training estimates, not confirmed quotes, and may vary by menu, date, guest count, décor scope, taxes and service charges.</t>
  </si>
  <si>
    <t>111</t>
  </si>
  <si>
    <t>Imran Marriage Hall</t>
  </si>
  <si>
    <t>Imran Marriage Hall is a standard banquet hall in Sabzazar, Lahore, with an estimated seated capacity of 475 guests. The venue profile includes 1 banquet hall, air-conditioning, bridal support, event staff and generator-backed operations for weddings, receptions, walima and corporate gatherings.</t>
  </si>
  <si>
    <t>Plot 672, Block F, Sabzazar Housing Scheme, Lahore, 54000</t>
  </si>
  <si>
    <t>03248194846</t>
  </si>
  <si>
    <t>03336021392</t>
  </si>
  <si>
    <t>PKR 1,750-4,050 per person</t>
  </si>
  <si>
    <t>Standard one-dish per-person estimate: chicken PKR 1,750, beef PKR 2,350 and mutton PKR 4,050. Includes climate-controlled seating, standard stage and décor coordination, bridal room, backup generator, managed parking. Rates are realistic training estimates, not confirmed quotes, and may vary by menu, date, guest count, décor scope, taxes and service charges.</t>
  </si>
  <si>
    <t>112</t>
  </si>
  <si>
    <t>Nawab's Marquee</t>
  </si>
  <si>
    <t>Nawab's Marquee is a premium club / garrison venue in Cantt, Lahore, with an estimated seated capacity of 625 guests. The venue profile includes 1 banquet hall and an outdoor lawn/marquee option, air-conditioning, bridal support, event staff and generator-backed operations for weddings, receptions, walima and corporate gatherings.</t>
  </si>
  <si>
    <t>03027846375</t>
  </si>
  <si>
    <t>03084833085</t>
  </si>
  <si>
    <t>PKR 2,600-4,800 per person</t>
  </si>
  <si>
    <t>Premium one-dish per-person estimate: chicken PKR 2,600, beef PKR 3,200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</si>
  <si>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113</t>
  </si>
  <si>
    <t>Umar Marriage Hall</t>
  </si>
  <si>
    <t>Umar Marriage Hall is a standard banquet hall in Township, Lahore, with an estimated seated capacity of 325 guests. The venue profile includes 1 banquet hall, air-conditioning, bridal support, event staff and generator-backed operations for weddings, receptions, walima and corporate gatherings.</t>
  </si>
  <si>
    <t>343 Civic Centre, Township, Lahore, 54770</t>
  </si>
  <si>
    <t>03136909671</t>
  </si>
  <si>
    <t>04237749961</t>
  </si>
  <si>
    <t>PKR 1,850-4,550 per person</t>
  </si>
  <si>
    <t>Standard one-dish per-person estimate: chicken PKR 1,850, beef PKR 2,650 and mutton PKR 4,550. Includes climate-controlled seating, standard stage and décor coordination, bridal room, backup generator. Rates are realistic training estimates, not confirmed quotes, and may vary by menu, date, guest count, décor scope, taxes and service charges.</t>
  </si>
  <si>
    <t>114</t>
  </si>
  <si>
    <t>Al Raziq Marriage Hall</t>
  </si>
  <si>
    <t>Al Raziq Marriage Hall is a standard banquet hall in Garden Town, Lahore, with an estimated seated capacity of 650 guests. The venue profile includes 1 banquet hall, air-conditioning, bridal support, event staff and generator-backed operations for weddings, receptions, walima and corporate gatherings.</t>
  </si>
  <si>
    <t>55 Main Boulevard, New Garden Town, Lahore, 54000</t>
  </si>
  <si>
    <t>03127367902</t>
  </si>
  <si>
    <t>03046721938</t>
  </si>
  <si>
    <t>PKR 1,850-4,350 per person</t>
  </si>
  <si>
    <t>Standard one-dish per-person estimate: chicken PKR 1,850, beef PKR 2,650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</si>
  <si>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standard, realistic package, per head pricing</t>
  </si>
  <si>
    <t>115</t>
  </si>
  <si>
    <t>Desire marriage hall</t>
  </si>
  <si>
    <t>Desire marriage hall is a standard banquet hall in Johar Town, Lahore, with an estimated seated capacity of 600 guests. The venue profile includes 1 banquet hall, air-conditioning, bridal support, event staff and generator-backed operations for weddings, receptions, walima and corporate gatherings.</t>
  </si>
  <si>
    <t>Plot 559, Block N, Phase 2 Johar Town, Lahore, 54000</t>
  </si>
  <si>
    <t>03447605683</t>
  </si>
  <si>
    <t>03176610955</t>
  </si>
  <si>
    <t>Standard one-dish per-person estimate: chicken PKR 1,850, beef PKR 2,350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</si>
  <si>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116</t>
  </si>
  <si>
    <t>Nas Marriage Hall</t>
  </si>
  <si>
    <t>Nas Marriage Hall is a standard banquet hall in Gulberg, Lahore, with an estimated seated capacity of 525 guests. The venue profile includes 1 banquet hall, air-conditioning, bridal support, event staff and generator-backed operations for weddings, receptions, walima and corporate gatherings.</t>
  </si>
  <si>
    <t>388 Kalma Chowk Road, Gulberg III, Lahore, 54000</t>
  </si>
  <si>
    <t>03229315056</t>
  </si>
  <si>
    <t>03238324202</t>
  </si>
  <si>
    <t>PKR 2,100-4,300 per person</t>
  </si>
  <si>
    <t>Standard one-dish per-person estimate: chicken PKR 2,100, beef PKR 2,550 and mutton PKR 4,300. Includes climate-controlled seating, standard stage and décor coordination, bridal room, backup generator, managed parking. Rates are realistic training estimates, not confirmed quotes, and may vary by menu, date, guest count, décor scope, taxes and service charges.</t>
  </si>
  <si>
    <t>117</t>
  </si>
  <si>
    <t>Topaz Event Complex</t>
  </si>
  <si>
    <t>Topaz Event Complex is a premium multi-hall banquet in Johar Town, Lahore, with an estimated seated capacity of 675 guests. The venue profile includes 2 banquet halls, air-conditioning, bridal support, event staff and generator-backed operations for weddings, receptions, walima and corporate gatherings.</t>
  </si>
  <si>
    <t>Plot 412, Block K, Phase 1 Johar Town, Lahore, 54000</t>
  </si>
  <si>
    <t>03129716986</t>
  </si>
  <si>
    <t>04232458896</t>
  </si>
  <si>
    <t>PKR 2,250-4,400 per person</t>
  </si>
  <si>
    <t>Premium one-dish per-person estimate: chicken PKR 2,250, beef PKR 2,900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</si>
  <si>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118</t>
  </si>
  <si>
    <t>Awan Marriage Hall</t>
  </si>
  <si>
    <t>Awan Marriage Hall is a standard banquet hall in DHA Phase 8, Lahore, with an estimated seated capacity of 550 guests. The venue profile includes 1 banquet hall, air-conditioning, bridal support, event staff and generator-backed operations for weddings, receptions, walima and corporate gatherings.</t>
  </si>
  <si>
    <t>529 Park View Block, DHA Phase 8, Lahore, 54810</t>
  </si>
  <si>
    <t>03114749374</t>
  </si>
  <si>
    <t>03266880328</t>
  </si>
  <si>
    <t>PKR 1,950-4,100 per person</t>
  </si>
  <si>
    <t>Standard one-dish per-person estimate: chicken PKR 1,950, beef PKR 2,850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</si>
  <si>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dha phase 8 (includes park view &amp; air avenue), traditional, standard, realistic package, per head pricing</t>
  </si>
  <si>
    <t>119</t>
  </si>
  <si>
    <t>Al-Firdous marriage hall</t>
  </si>
  <si>
    <t>Al-Firdous marriage hall is a budget banquet hall in Sabzazar, Lahore, with an estimated seated capacity of 375 guests. The venue profile includes 1 banquet hall, air-conditioning, bridal support, event staff and generator-backed operations for weddings, receptions, walima and corporate gatherings.</t>
  </si>
  <si>
    <t>278 Main Boulevard, Sabzazar, Lahore, 54500</t>
  </si>
  <si>
    <t>03001497812</t>
  </si>
  <si>
    <t>03018723561</t>
  </si>
  <si>
    <t>PKR 1,550-4,300 per person</t>
  </si>
  <si>
    <t>Budget one-dish per-person estimate: chicken PKR 1,550, beef PKR 2,450 and mutton PKR 4,300. Includes climate-controlled seating, standard stage and décor coordination, bridal room, backup generator. Rates are realistic training estimates, not confirmed quotes, and may vary by menu, date, guest count, décor scope, taxes and service charges.</t>
  </si>
  <si>
    <t>120</t>
  </si>
  <si>
    <t>Sundar Marriage Hall and Farm House</t>
  </si>
  <si>
    <t>Sundar Marriage Hall and Farm House is a standard marquee / lawn in Sabzazar, Lahore, with an estimated seated capacity of 725 guests. The venue profile includes 1 banquet hall and an outdoor lawn/marquee option, air-conditioning, bridal support, event staff and generator-backed operations for weddings, receptions, walima and corporate gatherings.</t>
  </si>
  <si>
    <t>Plot 88, Block H, Sabzazar Housing Scheme, Lahore, 54000</t>
  </si>
  <si>
    <t>03241522630</t>
  </si>
  <si>
    <t>03221018531</t>
  </si>
  <si>
    <t>PKR 1,750-3,600 per person</t>
  </si>
  <si>
    <t>Standard one-dish per-person estimate: chicken PKR 1,750, beef PKR 2,500 and mutton PKR 3,600.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</si>
  <si>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farm house, large capacity, lawn, standard, marquee lawn, realistic package, per head pricing</t>
  </si>
  <si>
    <t>121</t>
  </si>
  <si>
    <t>Aslam Marriage Hall</t>
  </si>
  <si>
    <t>Aslam Marriage Hall is a standard banquet hall in Johar Town, Lahore, with an estimated seated capacity of 650 guests. The venue profile includes 1 banquet hall, air-conditioning, bridal support, event staff and generator-backed operations for weddings, receptions, walima and corporate gatherings.</t>
  </si>
  <si>
    <t>03058933192</t>
  </si>
  <si>
    <t>03163816988</t>
  </si>
  <si>
    <t>Standard one-dish per-person estimate: chicken PKR 1,900, beef PKR 2,800 and mutton PKR 3,850. Includes climate-controlled seating, standard stage and décor coordination, bridal room, backup generator, managed parking. Rates are realistic training estimates, not confirmed quotes, and may vary by menu, date, guest count, décor scope, taxes and service charges.</t>
  </si>
  <si>
    <t>122</t>
  </si>
  <si>
    <t>Aroos Marriage Hall</t>
  </si>
  <si>
    <t>Aroos Marriage Hall is a budget banquet hall in Sabzazar, Lahore, with an estimated seated capacity of 625 guests. The venue profile includes 1 banquet hall, air-conditioning, bridal support, event staff and generator-backed operations for weddings, receptions, walima and corporate gatherings.</t>
  </si>
  <si>
    <t>Civic Centre, Block E, Sabzazar, Lahore, 54000</t>
  </si>
  <si>
    <t>03134878024</t>
  </si>
  <si>
    <t>04239326592</t>
  </si>
  <si>
    <t>PKR 1,400-3,550 per person</t>
  </si>
  <si>
    <t>Budget one-dish per-person estimate: chicken PKR 1,400, beef PKR 2,200 and mutton PKR 3,550. Includes climate-controlled seating, standard stage and décor coordination, bridal room, backup generator, managed parking. Rates are realistic training estimates, not confirmed quotes, and may vary by menu, date, guest count, décor scope, taxes and service charges.</t>
  </si>
  <si>
    <t>123</t>
  </si>
  <si>
    <t>Hassan Banquet</t>
  </si>
  <si>
    <t>Hassan Banquet is a premium marquee / lawn in Raiwind Road, Lahore, with an estimated seated capacity of 550 guests. The venue profile includes 1 banquet hall and an outdoor lawn/marquee option, air-conditioning, bridal support, event staff and generator-backed operations for weddings, receptions, walima and corporate gatherings.</t>
  </si>
  <si>
    <t>12 km Raiwind Road, Lahore, 54000</t>
  </si>
  <si>
    <t>03044468731</t>
  </si>
  <si>
    <t>03240078388</t>
  </si>
  <si>
    <t>PKR 2,300-4,650 per person</t>
  </si>
  <si>
    <t>Premium one-dish per-person estimate: chicken PKR 2,300, beef PKR 3,050 and mutton PKR 4,650.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</si>
  <si>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124</t>
  </si>
  <si>
    <t>Pearl Palace Event Complex - Branch 2</t>
  </si>
  <si>
    <t>Pearl Palace Event Complex - Branch 2 is a premium marquee / lawn in Raiwind Road, Lahore, with an estimated seated capacity of 800 guests. The venue profile includes 1 banquet hall and an outdoor lawn/marquee option, air-conditioning, bridal support, event staff and generator-backed operations for weddings, receptions, walima and corporate gatherings.</t>
  </si>
  <si>
    <t>Near Dubai Town, Raiwind Road, Lahore, 54000</t>
  </si>
  <si>
    <t>03321210582</t>
  </si>
  <si>
    <t>03095849625</t>
  </si>
  <si>
    <t>PKR 2,300-4,100 per person</t>
  </si>
  <si>
    <t>Premium one-dish per-person estimate: chicken PKR 2,300, beef PKR 2,800 and mutton PKR 4,100.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</si>
  <si>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raiwind road, traditional, large capacity, lawn, premium, marquee lawn, realistic package, per head pricing</t>
  </si>
  <si>
    <t>125</t>
  </si>
  <si>
    <t>Johar Event Complex</t>
  </si>
  <si>
    <t>Johar Event Complex is a standard multi-hall banquet in Johar Town, Lahore, with an estimated seated capacity of 625 guests. The venue profile includes 2 banquet halls, air-conditioning, bridal support, event staff and generator-backed operations for weddings, receptions, walima and corporate gatherings.</t>
  </si>
  <si>
    <t>344 Maulana Shaukat Ali Road, Johar Town, Lahore, 54000</t>
  </si>
  <si>
    <t>03000993428</t>
  </si>
  <si>
    <t>04235744416</t>
  </si>
  <si>
    <t>PKR 1,900-4,550 per person</t>
  </si>
  <si>
    <t>Standard one-dish per-person estimate: chicken PKR 1,900, beef PKR 2,850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</si>
  <si>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126</t>
  </si>
  <si>
    <t>Deans Royal Marquee</t>
  </si>
  <si>
    <t>Deans Royal Marquee is a premium club / garrison venue in Cantt, Lahore, with an estimated seated capacity of 700 guests. The venue profile includes 1 banquet hall and an outdoor lawn/marquee option, air-conditioning, bridal support, event staff and generator-backed operations for weddings, receptions, walima and corporate gatherings.</t>
  </si>
  <si>
    <t>618 Khursheed Alam Road, Cavalry Ground, Lahore, 54810</t>
  </si>
  <si>
    <t>03212606624</t>
  </si>
  <si>
    <t>03261204417</t>
  </si>
  <si>
    <t>Premium one-dish per-person estimate: chicken PKR 2,550, beef PKR 3,450 and mutton PKR 4,550.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</si>
  <si>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127</t>
  </si>
  <si>
    <t>Fortune Star Wedding Complex</t>
  </si>
  <si>
    <t>Fortune Star Wedding Complex is a premium marquee / lawn in Model Town, Lahore, with an estimated seated capacity of 975 guests. The venue profile includes 2 banquet halls and an outdoor lawn/marquee option, air-conditioning, bridal support, event staff and generator-backed operations for weddings, receptions, walima and corporate gatherings.</t>
  </si>
  <si>
    <t>69 Lower Mall Road, Model Town Link, Lahore, 54000</t>
  </si>
  <si>
    <t>03462788834</t>
  </si>
  <si>
    <t>03418405176</t>
  </si>
  <si>
    <t>PKR 2,650-5,050 per person</t>
  </si>
  <si>
    <t>Premium one-dish per-person estimate: chicken PKR 2,650, beef PKR 3,400 and mutton PKR 5,050.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</si>
  <si>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model town, traditional, large capacity, lawn, premium, marquee lawn, realistic package, per head pricing</t>
  </si>
  <si>
    <t>128</t>
  </si>
  <si>
    <t>White Palace Marriage and Banquet Hall - Branch 2</t>
  </si>
  <si>
    <t>White Palace Marriage and Banquet Hall - Branch 2 is a standard banquet hall in Township, Lahore, with an estimated seated capacity of 625 guests. The venue profile includes 1 banquet hall, air-conditioning, bridal support, event staff and generator-backed operations for weddings, receptions, walima and corporate gatherings.</t>
  </si>
  <si>
    <t>45 Shah Jilani Road, Township, Lahore, 54770</t>
  </si>
  <si>
    <t>03139268655</t>
  </si>
  <si>
    <t>03143411613</t>
  </si>
  <si>
    <t>PKR 2,000-4,900 per person</t>
  </si>
  <si>
    <t>Standard one-dish per-person estimate: chicken PKR 2,000, beef PKR 2,900 and mutton PKR 4,900. Includes climate-controlled seating, standard stage and décor coordination, bridal room, backup generator, managed parking. Rates are realistic training estimates, not confirmed quotes, and may vary by menu, date, guest count, décor scope, taxes and service charges.</t>
  </si>
  <si>
    <t>129</t>
  </si>
  <si>
    <t>Malik Inayat Marriage Hall</t>
  </si>
  <si>
    <t>Malik Inayat Marriage Hall is a standard banquet hall in Sabzazar, Lahore, with an estimated seated capacity of 450 guests. The venue profile includes 1 banquet hall, air-conditioning, bridal support, event staff and generator-backed operations for weddings, receptions, walima and corporate gatherings.</t>
  </si>
  <si>
    <t>03331540794</t>
  </si>
  <si>
    <t>03227446527</t>
  </si>
  <si>
    <t>PKR 1,800-3,450 per person</t>
  </si>
  <si>
    <t>Standard one-dish per-person estimate: chicken PKR 1,800, beef PKR 2,400 and mutton PKR 3,450. Includes climate-controlled seating, standard stage and décor coordination, bridal room, backup generator, managed parking. Rates are realistic training estimates, not confirmed quotes, and may vary by menu, date, guest count, décor scope, taxes and service charges.</t>
  </si>
  <si>
    <t>130</t>
  </si>
  <si>
    <t>Hamza Marriage Hall Rachna town</t>
  </si>
  <si>
    <t>Hamza Marriage Hall Rachna town is a standard banquet hall in Johar Town, Lahore, with an estimated seated capacity of 675 guests. The venue profile includes 1 banquet hall, air-conditioning, bridal support, event staff and generator-backed operations for weddings, receptions, walima and corporate gatherings.</t>
  </si>
  <si>
    <t>568 Maulana Shaukat Ali Road, Johar Town, Lahore, 54000</t>
  </si>
  <si>
    <t>03261970883</t>
  </si>
  <si>
    <t>03118516873</t>
  </si>
  <si>
    <t>Standard one-dish per-person estimate: chicken PKR 1,800, beef PKR 2,400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</si>
  <si>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131</t>
  </si>
  <si>
    <t>Qasr e Ghousia</t>
  </si>
  <si>
    <t>Qasr e Ghousia is a standard banquet hall in Township, Lahore, with an estimated seated capacity of 700 guests. The venue profile includes 1 banquet hall, air-conditioning, bridal support, event staff and generator-backed operations for weddings, receptions, walima and corporate gatherings.</t>
  </si>
  <si>
    <t>262 Shah Jilani Road, Township, Lahore, 54770</t>
  </si>
  <si>
    <t>03468436566</t>
  </si>
  <si>
    <t>04238370001</t>
  </si>
  <si>
    <t>PKR 2,000-4,200 per person</t>
  </si>
  <si>
    <t>Standard one-dish per-person estimate: chicken PKR 2,000, beef PKR 2,650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</si>
  <si>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132</t>
  </si>
  <si>
    <t>Al Khalid Banquet Hall</t>
  </si>
  <si>
    <t>Al Khalid Banquet Hall is a premium banquet hall in Johar Town, Lahore, with an estimated seated capacity of 500 guests. The venue profile includes 1 banquet hall, air-conditioning, bridal support, event staff and generator-backed operations for weddings, receptions, walima and corporate gatherings.</t>
  </si>
  <si>
    <t>406 Maulana Shaukat Ali Road, Johar Town, Lahore, 54000</t>
  </si>
  <si>
    <t>03059645672</t>
  </si>
  <si>
    <t>03011573972</t>
  </si>
  <si>
    <t>PKR 2,200-3,800 per person</t>
  </si>
  <si>
    <t>Premium one-dish per-person estimate: chicken PKR 2,200, beef PKR 2,700 and mutton PKR 3,800. Includes climate-controlled seating, standard stage and décor coordination, bridal room, backup generator, managed parking. Rates are realistic training estimates, not confirmed quotes, and may vary by menu, date, guest count, décor scope, taxes and service charges.</t>
  </si>
  <si>
    <t>133</t>
  </si>
  <si>
    <t>Shahjahan Banquet Hall</t>
  </si>
  <si>
    <t>Shahjahan Banquet Hall is a standard banquet hall in Sabzazar, Lahore, with an estimated seated capacity of 475 guests. The venue profile includes 1 banquet hall, air-conditioning, bridal support, event staff and generator-backed operations for weddings, receptions, walima and corporate gatherings.</t>
  </si>
  <si>
    <t>03320877791</t>
  </si>
  <si>
    <t>04235362427</t>
  </si>
  <si>
    <t>PKR 1,900-3,950 per person</t>
  </si>
  <si>
    <t>Standard one-dish per-person estimate: chicken PKR 1,900, beef PKR 2,450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</si>
  <si>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134</t>
  </si>
  <si>
    <t>Al Zahra Banquet Hall</t>
  </si>
  <si>
    <t>Al Zahra Banquet Hall is a budget banquet hall in Township, Lahore, with an estimated seated capacity of 625 guests. The venue profile includes 1 banquet hall, air-conditioning, bridal support, event staff and generator-backed operations for weddings, receptions, walima and corporate gatherings.</t>
  </si>
  <si>
    <t>Plot 373, Sector C-1, Township, Lahore, 54770</t>
  </si>
  <si>
    <t>03210475461</t>
  </si>
  <si>
    <t>04233671551</t>
  </si>
  <si>
    <t>PKR 1,450-3,700 per person</t>
  </si>
  <si>
    <t>Budget one-dish per-person estimate: chicken PKR 1,450, beef PKR 2,050 and mutton PKR 3,700.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</si>
  <si>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budget, realistic package, per head pricing</t>
  </si>
  <si>
    <t>135</t>
  </si>
  <si>
    <t>Babar Shadi Hall</t>
  </si>
  <si>
    <t>Babar Shadi Hall is a standard marquee / lawn in Raiwind Road, Lahore, with an estimated seated capacity of 400 guests. The venue profile includes 1 banquet hall and an outdoor lawn/marquee option, air-conditioning, bridal support, event staff and generator-backed operations for weddings, receptions, walima and corporate gatherings.</t>
  </si>
  <si>
    <t>11 km Raiwind Road, Lahore, 54000</t>
  </si>
  <si>
    <t>03335786228</t>
  </si>
  <si>
    <t>03165597105</t>
  </si>
  <si>
    <t>PKR 1,650-3,250 per person</t>
  </si>
  <si>
    <t>Standard one-dish per-person estimate: chicken PKR 1,650, beef PKR 2,100 and mutton PKR 3,250.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</si>
  <si>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136</t>
  </si>
  <si>
    <t>Qadaffi Wedding Hall</t>
  </si>
  <si>
    <t>Qadaffi Wedding Hall is a standard club / garrison venue in Cantt, Lahore, with an estimated seated capacity of 475 guests. The venue profile includes 1 banquet hall, air-conditioning, bridal support, event staff and generator-backed operations for weddings, receptions, walima and corporate gatherings.</t>
  </si>
  <si>
    <t>03442411351</t>
  </si>
  <si>
    <t>03093061628</t>
  </si>
  <si>
    <t>PKR 1,900-4,200 per person</t>
  </si>
  <si>
    <t>Standard one-dish per-person estimate: chicken PKR 1,900, beef PKR 2,750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</si>
  <si>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137</t>
  </si>
  <si>
    <t>Palace Marriage Hall</t>
  </si>
  <si>
    <t>Palace Marriage Hall is a premium banquet hall in Gulberg, Lahore, with an estimated seated capacity of 350 guests. The venue profile includes 1 banquet hall, air-conditioning, bridal support, event staff and generator-backed operations for weddings, receptions, walima and corporate gatherings.</t>
  </si>
  <si>
    <t>Plot 659, Main Boulevard Gulberg III, Lahore, 54660</t>
  </si>
  <si>
    <t>03042798023</t>
  </si>
  <si>
    <t>03100451570</t>
  </si>
  <si>
    <t>PKR 2,750-4,600 per person</t>
  </si>
  <si>
    <t>Premium one-dish per-person estimate: chicken PKR 2,750, beef PKR 3,550 and mutton PKR 4,600. Includes climate-controlled seating, standard stage and décor coordination, bridal room, backup generator. Rates are realistic training estimates, not confirmed quotes, and may vary by menu, date, guest count, décor scope, taxes and service charges.</t>
  </si>
  <si>
    <t>138</t>
  </si>
  <si>
    <t>Gold Palace Marriage Hall</t>
  </si>
  <si>
    <t>Gold Palace Marriage Hall is a premium banquet hall in Model Town, Lahore, with an estimated seated capacity of 325 guests. The venue profile includes 1 banquet hall, air-conditioning, bridal support, event staff and generator-backed operations for weddings, receptions, walima and corporate gatherings.</t>
  </si>
  <si>
    <t>Plot 512, Main Boulevard Model Town, Lahore, 54000</t>
  </si>
  <si>
    <t>03467340056</t>
  </si>
  <si>
    <t>03047358997</t>
  </si>
  <si>
    <t>PKR 2,300-4,300 per person</t>
  </si>
  <si>
    <t>Premium one-dish per-person estimate: chicken PKR 2,300, beef PKR 2,800 and mutton PKR 4,300. Includes climate-controlled seating, standard stage and décor coordination, bridal room, backup generator. Rates are realistic training estimates, not confirmed quotes, and may vary by menu, date, guest count, décor scope, taxes and service charges.</t>
  </si>
  <si>
    <t>139</t>
  </si>
  <si>
    <t>Gourmet Victoria Marquee</t>
  </si>
  <si>
    <t>Gourmet Victoria Marquee is a premium marquee / lawn in Gulberg, Lahore, with an estimated seated capacity of 1,050 guests. The venue profile includes 3 banquet halls and an outdoor lawn/marquee option, air-conditioning, bridal support, event staff and generator-backed operations for weddings, receptions, walima and corporate gatherings.</t>
  </si>
  <si>
    <t>442 Kalma Chowk Road, Gulberg III, Lahore, 54000</t>
  </si>
  <si>
    <t>03011486756</t>
  </si>
  <si>
    <t>04237616585</t>
  </si>
  <si>
    <t>PKR 2,900-5,650 per person</t>
  </si>
  <si>
    <t>Premium one-dish per-person estimate: chicken PKR 2,900, beef PKR 3,750 and mutton PKR 5,650.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</si>
  <si>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gulberg, traditional, marquee, large capacity, lawn, gulberg (iii), premium, marquee lawn, realistic package, per head pricing</t>
  </si>
  <si>
    <t>140</t>
  </si>
  <si>
    <t>Alhaj Marriage Hall</t>
  </si>
  <si>
    <t>Alhaj Marriage Hall is a premium banquet hall in Johar Town, Lahore, with an estimated seated capacity of 650 guests. The venue profile includes 1 banquet hall, air-conditioning, bridal support, event staff and generator-backed operations for weddings, receptions, walima and corporate gatherings.</t>
  </si>
  <si>
    <t>Plot 338, Block F, Phase 2 Johar Town, Lahore, 54000</t>
  </si>
  <si>
    <t>03221010336</t>
  </si>
  <si>
    <t>03447281122</t>
  </si>
  <si>
    <t>Premium one-dish per-person estimate: chicken PKR 2,250, beef PKR 2,700 and mutton PKR 4,500. Includes climate-controlled seating, standard stage and décor coordination, bridal room, backup generator, managed parking. Rates are realistic training estimates, not confirmed quotes, and may vary by menu, date, guest count, décor scope, taxes and service charges.</t>
  </si>
  <si>
    <t>141</t>
  </si>
  <si>
    <t>Gourmet Palace Marquee</t>
  </si>
  <si>
    <t>Gourmet Palace Marquee is a premium club / garrison venue in Cantt, Lahore, with an estimated seated capacity of 625 guests. The venue profile includes 1 banquet hall and an outdoor lawn/marquee option, air-conditioning, bridal support, event staff and generator-backed operations for weddings, receptions, walima and corporate gatherings.</t>
  </si>
  <si>
    <t>684 Khursheed Alam Road, Cavalry Ground, Lahore, 54810</t>
  </si>
  <si>
    <t>03177316440</t>
  </si>
  <si>
    <t>04236503122</t>
  </si>
  <si>
    <t>PKR 2,450-4,500 per person</t>
  </si>
  <si>
    <t>Premium one-dish per-person estimate: chicken PKR 2,450, beef PKR 3,250 and mutton PKR 4,500.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</si>
  <si>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142</t>
  </si>
  <si>
    <t>Ali Hajvery Marriage Hall</t>
  </si>
  <si>
    <t>Ali Hajvery Marriage Hall is a standard banquet hall in Model Town, Lahore, with an estimated seated capacity of 650 guests. The venue profile includes 1 banquet hall, air-conditioning, bridal support, event staff and generator-backed operations for weddings, receptions, walima and corporate gatherings.</t>
  </si>
  <si>
    <t>662 Block K, Model Town, Lahore, 54000</t>
  </si>
  <si>
    <t>03261978275</t>
  </si>
  <si>
    <t>04233770578</t>
  </si>
  <si>
    <t>PKR 2,150-3,850 per person</t>
  </si>
  <si>
    <t>Standard one-dish per-person estimate: chicken PKR 2,150, beef PKR 2,850 and mutton PKR 3,850. Includes climate-controlled seating, standard stage and décor coordination, bridal room, backup generator, managed parking. Rates are realistic training estimates, not confirmed quotes, and may vary by menu, date, guest count, décor scope, taxes and service charges.</t>
  </si>
  <si>
    <t>143</t>
  </si>
  <si>
    <t>Muskaan Shadi Hall</t>
  </si>
  <si>
    <t>Muskaan Shadi Hall is a standard club / garrison venue in Cantt, Lahore, with an estimated seated capacity of 500 guests. The venue profile includes 1 banquet hall, air-conditioning, bridal support, event staff and generator-backed operations for weddings, receptions, walima and corporate gatherings.</t>
  </si>
  <si>
    <t>Hall No. 13, Garrison Golf &amp; Country Club, Saddar Town, Lahore, 54810</t>
  </si>
  <si>
    <t>03342226262</t>
  </si>
  <si>
    <t>03173256953</t>
  </si>
  <si>
    <t>PKR 1,950-3,550 per person</t>
  </si>
  <si>
    <t>Standard one-dish per-person estimate: chicken PKR 1,950, beef PKR 2,600 and mutton PKR 3,550. Includes climate-controlled seating, standard stage and décor coordination, bridal room, backup generator, managed parking. Rates are realistic training estimates, not confirmed quotes, and may vary by menu, date, guest count, décor scope, taxes and service charges.</t>
  </si>
  <si>
    <t>144</t>
  </si>
  <si>
    <t>Sattar marriage Hall</t>
  </si>
  <si>
    <t>Sattar marriage Hall is a standard banquet hall in Township, Lahore, with an estimated seated capacity of 550 guests. The venue profile includes 1 banquet hall, air-conditioning, bridal support, event staff and generator-backed operations for weddings, receptions, walima and corporate gatherings.</t>
  </si>
  <si>
    <t>197 Shah Jilani Road, Township, Lahore, 54770</t>
  </si>
  <si>
    <t>03344287990</t>
  </si>
  <si>
    <t>03054386835</t>
  </si>
  <si>
    <t>PKR 1,850-4,800 per person</t>
  </si>
  <si>
    <t>Standard one-dish per-person estimate: chicken PKR 1,850, beef PKR 2,700 and mutton PKR 4,800. Includes climate-controlled seating, standard stage and décor coordination, bridal room, backup generator, managed parking. Rates are realistic training estimates, not confirmed quotes, and may vary by menu, date, guest count, décor scope, taxes and service charges.</t>
  </si>
  <si>
    <t>145</t>
  </si>
  <si>
    <t>Qasr-e-Ziafat</t>
  </si>
  <si>
    <t>Qasr-e-Ziafat is a standard banquet hall in Garden Town, Lahore, with an estimated seated capacity of 450 guests. The venue profile includes 1 banquet hall, air-conditioning, bridal support, event staff and generator-backed operations for weddings, receptions, walima and corporate gatherings.</t>
  </si>
  <si>
    <t>Plot 545, Aibak Block, Garden Town, Lahore, 54000</t>
  </si>
  <si>
    <t>03231185684</t>
  </si>
  <si>
    <t>03040164238</t>
  </si>
  <si>
    <t>PKR 2,000-4,550 per person</t>
  </si>
  <si>
    <t>Standard one-dish per-person estimate: chicken PKR 2,000, beef PKR 2,850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</si>
  <si>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146</t>
  </si>
  <si>
    <t>Crystal Palace Banquet Hall</t>
  </si>
  <si>
    <t>Crystal Palace Banquet Hall is a standard banquet hall in Sabzazar, Lahore, with an estimated seated capacity of 650 guests. The venue profile includes 1 banquet hall, air-conditioning, bridal support, event staff and generator-backed operations for weddings, receptions, walima and corporate gatherings.</t>
  </si>
  <si>
    <t>03138021858</t>
  </si>
  <si>
    <t>03024127408</t>
  </si>
  <si>
    <t>PKR 2,000-4,400 per person</t>
  </si>
  <si>
    <t>Standard one-dish per-person estimate: chicken PKR 2,000, beef PKR 2,450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</si>
  <si>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147</t>
  </si>
  <si>
    <t>Charagh Palace Marriage Hall</t>
  </si>
  <si>
    <t>Charagh Palace Marriage Hall is a premium banquet hall in DHA Phase 8, Lahore, with an estimated seated capacity of 350 guests. The venue profile includes 1 banquet hall, air-conditioning, bridal support, event staff and generator-backed operations for weddings, receptions, walima and corporate gatherings.</t>
  </si>
  <si>
    <t>Plot 188, Airport Road, DHA Phase 8, Lahore, 54810</t>
  </si>
  <si>
    <t>03079123076</t>
  </si>
  <si>
    <t>04238820768</t>
  </si>
  <si>
    <t>Premium one-dish per-person estimate: chicken PKR 2,450, beef PKR 3,400 and mutton PKR 4,450.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</si>
  <si>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dha phase 8 (includes park view &amp; air avenue), traditional, premium, realistic package, per head pricing</t>
  </si>
  <si>
    <t>148</t>
  </si>
  <si>
    <t>Shama Marriage Hall</t>
  </si>
  <si>
    <t>Shama Marriage Hall is a standard banquet hall in Garden Town, Lahore, with an estimated seated capacity of 500 guests. The venue profile includes 1 banquet hall, air-conditioning, bridal support, event staff and generator-backed operations for weddings, receptions, walima and corporate gatherings.</t>
  </si>
  <si>
    <t>181 Babar Block, Garden Town, Lahore, 54700</t>
  </si>
  <si>
    <t>03338251933</t>
  </si>
  <si>
    <t>03357610069</t>
  </si>
  <si>
    <t>Standard one-dish per-person estimate: chicken PKR 2,000, beef PKR 2,500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</si>
  <si>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149</t>
  </si>
  <si>
    <t>Qasr-e-Saeed Marquee</t>
  </si>
  <si>
    <t>Qasr-e-Saeed Marquee is a premium marquee / lawn in Johar Town, Lahore, with an estimated seated capacity of 625 guests. The venue profile includes 1 banquet hall and an outdoor lawn/marquee option, air-conditioning, bridal support, event staff and generator-backed operations for weddings, receptions, walima and corporate gatherings.</t>
  </si>
  <si>
    <t>440 Maulana Shaukat Ali Road, Johar Town, Lahore, 54000</t>
  </si>
  <si>
    <t>03048821749</t>
  </si>
  <si>
    <t>03127651601</t>
  </si>
  <si>
    <t>PKR 2,550-4,600 per person</t>
  </si>
  <si>
    <t>Premium one-dish per-person estimate: chicken PKR 2,550, beef PKR 3,250 and mutton PKR 4,600.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</si>
  <si>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150</t>
  </si>
  <si>
    <t>Gardenia Marriage Hall</t>
  </si>
  <si>
    <t>Gardenia Marriage Hall is a standard marquee / lawn in Gulberg, Lahore, with an estimated seated capacity of 700 guests. The venue profile includes 1 banquet hall and an outdoor lawn/marquee option, air-conditioning, bridal support, event staff and generator-backed operations for weddings, receptions, walima and corporate gatherings.</t>
  </si>
  <si>
    <t>270 Kalma Chowk Road, Gulberg III, Lahore, 54000</t>
  </si>
  <si>
    <t>03445396022</t>
  </si>
  <si>
    <t>04234039813</t>
  </si>
  <si>
    <t>PKR 2,150-5,100 per person</t>
  </si>
  <si>
    <t>Standard one-dish per-person estimate: chicken PKR 2,150, beef PKR 3,050 and mutton PKR 5,100.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</si>
  <si>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gulberg, traditional, large capacity, lawn, gulberg (iii), standard, marquee lawn, realistic package, per head pricing</t>
  </si>
  <si>
    <t>151</t>
  </si>
  <si>
    <t>Chateau D Amour Banquet Hall</t>
  </si>
  <si>
    <t>Chateau D Amour Banquet Hall is a standard banquet hall in Sabzazar, Lahore, with an estimated seated capacity of 375 guests. The venue profile includes 1 banquet hall, air-conditioning, bridal support, event staff and generator-backed operations for weddings, receptions, walima and corporate gatherings.</t>
  </si>
  <si>
    <t>Civic Centre, Block G, Sabzazar, Lahore, 54000</t>
  </si>
  <si>
    <t>03147139503</t>
  </si>
  <si>
    <t>03238611196</t>
  </si>
  <si>
    <t>PKR 1,950-4,400 per person</t>
  </si>
  <si>
    <t>Standard one-dish per-person estimate: chicken PKR 1,950, beef PKR 2,450 and mutton PKR 4,400. Includes climate-controlled seating, standard stage and décor coordination, bridal room, backup generator. Rates are realistic training estimates, not confirmed quotes, and may vary by menu, date, guest count, décor scope, taxes and service charges.</t>
  </si>
  <si>
    <t>152</t>
  </si>
  <si>
    <t>The Palace By IHMS Banquet</t>
  </si>
  <si>
    <t>The Palace By IHMS Banquet is a premium banquet hall in DHA Phase 8, Lahore, with an estimated seated capacity of 625 guests. The venue profile includes 1 banquet hall, air-conditioning, bridal support, event staff and generator-backed operations for weddings, receptions, walima and corporate gatherings.</t>
  </si>
  <si>
    <t>Air Avenue Commercial, DHA Phase 8, Lahore, 54810</t>
  </si>
  <si>
    <t>03132978349</t>
  </si>
  <si>
    <t>04234592669</t>
  </si>
  <si>
    <t>PKR 2,400-4,900 per person</t>
  </si>
  <si>
    <t>Premium one-dish per-person estimate: chicken PKR 2,400, beef PKR 3,200 and mutton PKR 4,900. Includes climate-controlled seating, standard stage and décor coordination, bridal room, backup generator, managed parking. Rates are realistic training estimates, not confirmed quotes, and may vary by menu, date, guest count, décor scope, taxes and service charges.</t>
  </si>
  <si>
    <t>153</t>
  </si>
  <si>
    <t>Crystal Marriage Hall</t>
  </si>
  <si>
    <t>Crystal Marriage Hall is a premium banquet hall in Johar Town, Lahore, with an estimated seated capacity of 500 guests. The venue profile includes 1 banquet hall, air-conditioning, bridal support, event staff and generator-backed operations for weddings, receptions, walima and corporate gatherings.</t>
  </si>
  <si>
    <t>690 Maulana Shaukat Ali Road, Johar Town, Lahore, 54000</t>
  </si>
  <si>
    <t>03022992752</t>
  </si>
  <si>
    <t>03152335238</t>
  </si>
  <si>
    <t>Premium one-dish per-person estimate: chicken PKR 2,200, beef PKR 2,900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</si>
  <si>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154</t>
  </si>
  <si>
    <t>Defence Club Banquet Hall J block</t>
  </si>
  <si>
    <t>Defence Club Banquet Hall J block is a premium club / garrison venue in DHA Phase 8, Lahore, with an estimated seated capacity of 300 guests. The venue profile includes 1 banquet hall, air-conditioning, bridal support, event staff and generator-backed operations for weddings, receptions, walima and corporate gatherings.</t>
  </si>
  <si>
    <t>03451065281</t>
  </si>
  <si>
    <t>03136230298</t>
  </si>
  <si>
    <t>PKR 2,350-4,200 per person</t>
  </si>
  <si>
    <t>Premium one-dish per-person estimate: chicken PKR 2,350, beef PKR 2,900 and mutton PKR 4,200. Includes climate-controlled seating, standard stage and décor coordination, bridal room, backup generator. Rates are realistic training estimates, not confirmed quotes, and may vary by menu, date, guest count, décor scope, taxes and service charges.</t>
  </si>
  <si>
    <t>lahore, wedding, shaadi, reception, walima, marriage hall, banquet hall, dha phase 8 (includes park view &amp; air avenue), traditional, premium, club garrison venue, realistic package, per head pricing</t>
  </si>
  <si>
    <t>155</t>
  </si>
  <si>
    <t>Emerald Marriage Hall 8</t>
  </si>
  <si>
    <t>Emerald Marriage Hall 8 is a standard banquet hall in Johar Town, Lahore, with an estimated seated capacity of 350 guests. The venue profile includes 1 banquet hall, air-conditioning, bridal support, event staff and generator-backed operations for weddings, receptions, walima and corporate gatherings.</t>
  </si>
  <si>
    <t>524 Maulana Shaukat Ali Road, Johar Town, Lahore, 54000</t>
  </si>
  <si>
    <t>03344942201</t>
  </si>
  <si>
    <t>04237121701</t>
  </si>
  <si>
    <t>PKR 1,700-3,350 per person</t>
  </si>
  <si>
    <t>Standard one-dish per-person estimate: chicken PKR 1,700, beef PKR 2,250 and mutton PKR 3,350. Includes climate-controlled seating, standard stage and décor coordination, bridal room, backup generator. Rates are realistic training estimates, not confirmed quotes, and may vary by menu, date, guest count, décor scope, taxes and service charges.</t>
  </si>
  <si>
    <t>156</t>
  </si>
  <si>
    <t>Ali Haji Lateef Marriage Hall</t>
  </si>
  <si>
    <t>Ali Haji Lateef Marriage Hall is a premium banquet hall in Model Town, Lahore, with an estimated seated capacity of 525 guests. The venue profile includes 1 banquet hall, air-conditioning, bridal support, event staff and generator-backed operations for weddings, receptions, walima and corporate gatherings.</t>
  </si>
  <si>
    <t>Plot 400, Main Boulevard Model Town, Lahore, 54000</t>
  </si>
  <si>
    <t>03219262924</t>
  </si>
  <si>
    <t>03071441541</t>
  </si>
  <si>
    <t>PKR 2,300-4,700 per person</t>
  </si>
  <si>
    <t>Premium one-dish per-person estimate: chicken PKR 2,300, beef PKR 2,700 and mutton PKR 4,700. Includes climate-controlled seating, standard stage and décor coordination, bridal room, backup generator, managed parking. Rates are realistic training estimates, not confirmed quotes, and may vary by menu, date, guest count, décor scope, taxes and service charges.</t>
  </si>
  <si>
    <t>157</t>
  </si>
  <si>
    <t>Della Rosa Event Complex</t>
  </si>
  <si>
    <t>Della Rosa Event Complex is a premium banquet hall in DHA Phase 8, Lahore, with an estimated seated capacity of 650 guests. The venue profile includes 1 banquet hall, air-conditioning, bridal support, event staff and generator-backed operations for weddings, receptions, walima and corporate gatherings.</t>
  </si>
  <si>
    <t>03164551636</t>
  </si>
  <si>
    <t>04234312840</t>
  </si>
  <si>
    <t>Premium one-dish per-person estimate: chicken PKR 2,400, beef PKR 3,150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</si>
  <si>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dha phase 8 (includes park view &amp; air avenue), traditional, large capacity, premium, realistic package, per head pricing</t>
  </si>
  <si>
    <t>158</t>
  </si>
  <si>
    <t>Dera Marriage Hall - Branch 2</t>
  </si>
  <si>
    <t>Dera Marriage Hall - Branch 2 is a premium banquet hall in Garden Town, Lahore, with an estimated seated capacity of 525 guests. The venue profile includes 1 banquet hall, air-conditioning, bridal support, event staff and generator-backed operations for weddings, receptions, walima and corporate gatherings.</t>
  </si>
  <si>
    <t>165 Main Boulevard, New Garden Town, Lahore, 54000</t>
  </si>
  <si>
    <t>03149360361</t>
  </si>
  <si>
    <t>03233336566</t>
  </si>
  <si>
    <t>PKR 2,300-4,450 per person</t>
  </si>
  <si>
    <t>Premium one-dish per-person estimate: chicken PKR 2,300, beef PKR 2,950 and mutton PKR 4,450. Includes climate-controlled seating, standard stage and décor coordination, bridal room, backup generator, managed parking. Rates are realistic training estimates, not confirmed quotes, and may vary by menu, date, guest count, décor scope, taxes and service charges.</t>
  </si>
  <si>
    <t>159</t>
  </si>
  <si>
    <t>Ajwa Marquee</t>
  </si>
  <si>
    <t>Ajwa Marquee is a premium marquee / lawn in Model Town, Lahore, with an estimated seated capacity of 625 guests. The venue profile includes 1 banquet hall and an outdoor lawn/marquee option, air-conditioning, bridal support, event staff and generator-backed operations for weddings, receptions, walima and corporate gatherings.</t>
  </si>
  <si>
    <t>Plot 444, Main Boulevard Model Town, Lahore, 54000</t>
  </si>
  <si>
    <t>03457376677</t>
  </si>
  <si>
    <t>03230104405</t>
  </si>
  <si>
    <t>Premium one-dish per-person estimate: chicken PKR 2,200, beef PKR 3,150 and mutton PKR 4,650.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</si>
  <si>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model town, traditional, marquee, lawn, premium, marquee lawn, realistic package, per head pricing</t>
  </si>
  <si>
    <t>160</t>
  </si>
  <si>
    <t>Couples Banquet Hall - Branch 2</t>
  </si>
  <si>
    <t>Couples Banquet Hall - Branch 2 is a standard club / garrison venue in Cantt, Lahore, with an estimated seated capacity of 500 guests. The venue profile includes 1 banquet hall, air-conditioning, bridal support, event staff and generator-backed operations for weddings, receptions, walima and corporate gatherings.</t>
  </si>
  <si>
    <t>332 Khursheed Alam Road, Cavalry Ground, Lahore, 54810</t>
  </si>
  <si>
    <t>03232078093</t>
  </si>
  <si>
    <t>04237294156</t>
  </si>
  <si>
    <t>PKR 2,050-3,950 per person</t>
  </si>
  <si>
    <t>Standard one-dish per-person estimate: chicken PKR 2,050, beef PKR 2,950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</si>
  <si>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161</t>
  </si>
  <si>
    <t>Al Makkah Shadi Hall</t>
  </si>
  <si>
    <t>Al Makkah Shadi Hall is a standard banquet hall in Johar Town, Lahore, with an estimated seated capacity of 500 guests. The venue profile includes 1 banquet hall, air-conditioning, bridal support, event staff and generator-backed operations for weddings, receptions, walima and corporate gatherings.</t>
  </si>
  <si>
    <t>Civic Centre, Block L, Johar Town, Lahore, 54770</t>
  </si>
  <si>
    <t>03214560471</t>
  </si>
  <si>
    <t>03221182933</t>
  </si>
  <si>
    <t>PKR 2,050-4,250 per person</t>
  </si>
  <si>
    <t>Standard one-dish per-person estimate: chicken PKR 2,050, beef PKR 2,700 and mutton PKR 4,250. Includes climate-controlled seating, standard stage and décor coordination, bridal room, backup generator, managed parking. Rates are realistic training estimates, not confirmed quotes, and may vary by menu, date, guest count, décor scope, taxes and service charges.</t>
  </si>
  <si>
    <t>162</t>
  </si>
  <si>
    <t>Mariam Marriage Hall</t>
  </si>
  <si>
    <t>Mariam Marriage Hall is a standard banquet hall in Township, Lahore, with an estimated seated capacity of 675 guests. The venue profile includes 1 banquet hall, air-conditioning, bridal support, event staff and generator-backed operations for weddings, receptions, walima and corporate gatherings.</t>
  </si>
  <si>
    <t>Plot 688, Sector C-1, Township, Lahore, 54770</t>
  </si>
  <si>
    <t>03057987024</t>
  </si>
  <si>
    <t>03011986933</t>
  </si>
  <si>
    <t>PKR 2,050-3,900 per person</t>
  </si>
  <si>
    <t>Standard one-dish per-person estimate: chicken PKR 2,050, beef PKR 2,700 and mutton PKR 3,900. Includes climate-controlled seating, standard stage and décor coordination, bridal room, backup generator, managed parking. Rates are realistic training estimates, not confirmed quotes, and may vary by menu, date, guest count, décor scope, taxes and service charges.</t>
  </si>
  <si>
    <t>163</t>
  </si>
  <si>
    <t>Grand Orchid Farm House - Branch 2</t>
  </si>
  <si>
    <t>Grand Orchid Farm House - Branch 2 is a standard marquee / lawn in Sabzazar, Lahore, with an estimated seated capacity of 1,075 guests. The venue profile includes 3 banquet halls and an outdoor lawn/marquee option, air-conditioning, bridal support, event staff and generator-backed operations for weddings, receptions, walima and corporate gatherings.</t>
  </si>
  <si>
    <t>224 Main Boulevard, Sabzazar, Lahore, 54500</t>
  </si>
  <si>
    <t>03167153459</t>
  </si>
  <si>
    <t>03159377456</t>
  </si>
  <si>
    <t>PKR 2,000-3,800 per person</t>
  </si>
  <si>
    <t>Standard one-dish per-person estimate: chicken PKR 2,000, beef PKR 2,750 and mutton PKR 3,800.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</si>
  <si>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164</t>
  </si>
  <si>
    <t>Mezbaan Marquee</t>
  </si>
  <si>
    <t>Mezbaan Marquee is a premium marquee / lawn in Township, Lahore, with an estimated seated capacity of 775 guests. The venue profile includes 1 banquet hall and an outdoor lawn/marquee option, air-conditioning, bridal support, event staff and generator-backed operations for weddings, receptions, walima and corporate gatherings.</t>
  </si>
  <si>
    <t>Plot 93, Sector C-1, Township, Lahore, 54770</t>
  </si>
  <si>
    <t>03019353644</t>
  </si>
  <si>
    <t>03219518405</t>
  </si>
  <si>
    <t>PKR 2,200-5,200 per person</t>
  </si>
  <si>
    <t>Premium one-dish per-person estimate: chicken PKR 2,200, beef PKR 3,100 and mutton PKR 5,200.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</si>
  <si>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165</t>
  </si>
  <si>
    <t>White Palace Marriage Hall</t>
  </si>
  <si>
    <t>White Palace Marriage Hall is a premium banquet hall in Garden Town, Lahore, with an estimated seated capacity of 325 guests. The venue profile includes 1 banquet hall, air-conditioning, bridal support, event staff and generator-backed operations for weddings, receptions, walima and corporate gatherings.</t>
  </si>
  <si>
    <t>446 Babar Block, Garden Town, Lahore, 54700</t>
  </si>
  <si>
    <t>03116444874</t>
  </si>
  <si>
    <t>03216595254</t>
  </si>
  <si>
    <t>PKR 2,200-4,500 per person</t>
  </si>
  <si>
    <t>Premium one-dish per-person estimate: chicken PKR 2,200, beef PKR 3,050 and mutton PKR 4,500. Includes climate-controlled seating, standard stage and décor coordination, bridal room, backup generator. Rates are realistic training estimates, not confirmed quotes, and may vary by menu, date, guest count, décor scope, taxes and service charges.</t>
  </si>
  <si>
    <t>166</t>
  </si>
  <si>
    <t>Pearl Orchard Hall</t>
  </si>
  <si>
    <t>Pearl Orchard Hall is a premium banquet hall in Gulberg, Lahore, with an estimated seated capacity of 575 guests. The venue profile includes 1 banquet hall, air-conditioning, bridal support, event staff and generator-backed operations for weddings, receptions, walima and corporate gatherings.</t>
  </si>
  <si>
    <t>357 Kalma Chowk Road, Gulberg III, Lahore, 54000</t>
  </si>
  <si>
    <t>03219678108</t>
  </si>
  <si>
    <t>03413171158</t>
  </si>
  <si>
    <t>PKR 2,350-4,850 per person</t>
  </si>
  <si>
    <t>Premium one-dish per-person estimate: chicken PKR 2,350, beef PKR 3,200 and mutton PKR 4,850. Includes climate-controlled seating, standard stage and décor coordination, bridal room, backup generator, managed parking. Rates are realistic training estimates, not confirmed quotes, and may vary by menu, date, guest count, décor scope, taxes and service charges.</t>
  </si>
  <si>
    <t>167</t>
  </si>
  <si>
    <t>Ritz Marriage Garden</t>
  </si>
  <si>
    <t>Ritz Marriage Garden is a premium marquee / lawn in DHA Phase 8, Lahore, with an estimated seated capacity of 725 guests. The venue profile includes 1 banquet hall and an outdoor lawn/marquee option, air-conditioning, bridal support, event staff and generator-backed operations for weddings, receptions, walima and corporate gatherings.</t>
  </si>
  <si>
    <t>03343433098</t>
  </si>
  <si>
    <t>03133776397</t>
  </si>
  <si>
    <t>Premium one-dish per-person estimate: chicken PKR 2,550, beef PKR 3,100 and mutton PKR 4,650.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</si>
  <si>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dha phase 8 (includes park view &amp; air avenue), traditional, large capacity, lawn, premium, marquee lawn, realistic package, per head pricing</t>
  </si>
  <si>
    <t>168</t>
  </si>
  <si>
    <t>Parveen Mahal</t>
  </si>
  <si>
    <t>Parveen Mahal is a standard banquet hall in Sabzazar, Lahore, with an estimated seated capacity of 450 guests. The venue profile includes 1 banquet hall, air-conditioning, bridal support, event staff and generator-backed operations for weddings, receptions, walima and corporate gatherings.</t>
  </si>
  <si>
    <t>Plot 610, Block N, Sabzazar Housing Scheme, Lahore, 54000</t>
  </si>
  <si>
    <t>03113723437</t>
  </si>
  <si>
    <t>03010445481</t>
  </si>
  <si>
    <t>PKR 1,750-3,850 per person</t>
  </si>
  <si>
    <t>Standard one-dish per-person estimate: chicken PKR 1,750, beef PKR 2,300 and mutton PKR 3,850. Includes climate-controlled seating, standard stage and décor coordination, bridal room, backup generator. Rates are realistic training estimates, not confirmed quotes, and may vary by menu, date, guest count, décor scope, taxes and service charges.</t>
  </si>
  <si>
    <t>169</t>
  </si>
  <si>
    <t>Green Palm Event Complex</t>
  </si>
  <si>
    <t>Green Palm Event Complex is a standard banquet hall in Johar Town, Lahore, with an estimated seated capacity of 700 guests. The venue profile includes 1 banquet hall, air-conditioning, bridal support, event staff and generator-backed operations for weddings, receptions, walima and corporate gatherings.</t>
  </si>
  <si>
    <t>03461868071</t>
  </si>
  <si>
    <t>03153776822</t>
  </si>
  <si>
    <t>PKR 1,900-4,250 per person</t>
  </si>
  <si>
    <t>Standard one-dish per-person estimate: chicken PKR 1,900, beef PKR 2,700 and mutton PKR 4,250. Includes climate-controlled seating, standard stage and décor coordination, bridal room, backup generator, managed parking. Rates are realistic training estimates, not confirmed quotes, and may vary by menu, date, guest count, décor scope, taxes and service charges.</t>
  </si>
  <si>
    <t>170</t>
  </si>
  <si>
    <t>Central Palace Marquees &amp; Farm House</t>
  </si>
  <si>
    <t>Central Palace Marquees &amp; Farm House is a premium marquee / lawn in Johar Town, Lahore, with an estimated seated capacity of 1,050 guests. The venue profile includes 2 banquet halls and an outdoor lawn/marquee option, air-conditioning, bridal support, event staff and generator-backed operations for weddings, receptions, walima and corporate gatherings.</t>
  </si>
  <si>
    <t>85 Maulana Shaukat Ali Road, Johar Town, Lahore, 54000</t>
  </si>
  <si>
    <t>03132050874</t>
  </si>
  <si>
    <t>03043252695</t>
  </si>
  <si>
    <t>PKR 2,650-4,250 per person</t>
  </si>
  <si>
    <t>Premium one-dish per-person estimate: chicken PKR 2,650, beef PKR 3,200 and mutton PKR 4,250.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</si>
  <si>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marquee, farm house, large capacity, lawn, premium, marquee lawn, realistic package, per head pricing</t>
  </si>
  <si>
    <t>171</t>
  </si>
  <si>
    <t>Qasr-e-Anwar Marriage Hall</t>
  </si>
  <si>
    <t>Qasr-e-Anwar Marriage Hall is a budget banquet hall in Sabzazar, Lahore, with an estimated seated capacity of 525 guests. The venue profile includes 1 banquet hall, air-conditioning, bridal support, event staff and generator-backed operations for weddings, receptions, walima and corporate gatherings.</t>
  </si>
  <si>
    <t>193 Main Boulevard, Sabzazar, Lahore, 54500</t>
  </si>
  <si>
    <t>03054438606</t>
  </si>
  <si>
    <t>03225961069</t>
  </si>
  <si>
    <t>PKR 1,500-3,300 per person</t>
  </si>
  <si>
    <t>Budget one-dish per-person estimate: chicken PKR 1,500, beef PKR 1,950 and mutton PKR 3,300. Includes climate-controlled seating, standard stage and décor coordination, bridal room, backup generator, managed parking. Rates are realistic training estimates, not confirmed quotes, and may vary by menu, date, guest count, décor scope, taxes and service charges.</t>
  </si>
  <si>
    <t>172</t>
  </si>
  <si>
    <t>Crystal Palace Marriage Hall</t>
  </si>
  <si>
    <t>Crystal Palace Marriage Hall is a standard banquet hall in Sabzazar, Lahore, with an estimated seated capacity of 625 guests. The venue profile includes 1 banquet hall, air-conditioning, bridal support, event staff and generator-backed operations for weddings, receptions, walima and corporate gatherings.</t>
  </si>
  <si>
    <t>223 Main Boulevard, Sabzazar, Lahore, 54500</t>
  </si>
  <si>
    <t>03466992790</t>
  </si>
  <si>
    <t>03348945268</t>
  </si>
  <si>
    <t>PKR 2,100-4,050 per person</t>
  </si>
  <si>
    <t>Standard one-dish per-person estimate: chicken PKR 2,100, beef PKR 3,000 and mutton PKR 4,050. Includes climate-controlled seating, standard stage and décor coordination, bridal room, backup generator, managed parking. Rates are realistic training estimates, not confirmed quotes, and may vary by menu, date, guest count, décor scope, taxes and service charges.</t>
  </si>
  <si>
    <t>173</t>
  </si>
  <si>
    <t>Majesty Garrison Hall</t>
  </si>
  <si>
    <t>Majesty Garrison Hall is a standard club / garrison venue in Cantt, Lahore, with an estimated seated capacity of 750 guests. The venue profile includes 1 banquet hall, air-conditioning, bridal support, event staff and generator-backed operations for weddings, receptions, walima and corporate gatherings.</t>
  </si>
  <si>
    <t>03236079759</t>
  </si>
  <si>
    <t>03453153711</t>
  </si>
  <si>
    <t>PKR 2,100-4,400 per person</t>
  </si>
  <si>
    <t>Standard one-dish per-person estimate: chicken PKR 2,100, beef PKR 2,800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</si>
  <si>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cantt, traditional, large capacity, cantt (cavalry ground, saddar, etc.), standard, club garrison venue, realistic package, per head pricing</t>
  </si>
  <si>
    <t>174</t>
  </si>
  <si>
    <t>Milano Event Complex</t>
  </si>
  <si>
    <t>Milano Event Complex is a standard multi-hall banquet in Township, Lahore, with an estimated seated capacity of 675 guests. The venue profile includes 2 banquet halls, air-conditioning, bridal support, event staff and generator-backed operations for weddings, receptions, walima and corporate gatherings.</t>
  </si>
  <si>
    <t>331 Shah Jilani Road, Township, Lahore, 54770</t>
  </si>
  <si>
    <t>03418682566</t>
  </si>
  <si>
    <t>04234936696</t>
  </si>
  <si>
    <t>PKR 1,650-4,000 per person</t>
  </si>
  <si>
    <t>Standard one-dish per-person estimate: chicken PKR 1,650, beef PKR 2,100 and mutton PKR 4,000.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</si>
  <si>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large capacity, standard, multi-hall banquet, realistic package, per head pricing</t>
  </si>
  <si>
    <t>175</t>
  </si>
  <si>
    <t>Qasar-e-Noor - Branch 2</t>
  </si>
  <si>
    <t>Qasar-e-Noor - Branch 2 is a standard banquet hall in DHA Phase 8, Lahore, with an estimated seated capacity of 450 guests. The venue profile includes 1 banquet hall, air-conditioning, bridal support, event staff and generator-backed operations for weddings, receptions, walima and corporate gatherings.</t>
  </si>
  <si>
    <t>Plot 232, Airport Road, DHA Phase 8, Lahore, 54810</t>
  </si>
  <si>
    <t>03229407140</t>
  </si>
  <si>
    <t>03088603798</t>
  </si>
  <si>
    <t>PKR 1,950-3,450 per person</t>
  </si>
  <si>
    <t>Standard one-dish per-person estimate: chicken PKR 1,950, beef PKR 2,450 and mutton PKR 3,450. Includes climate-controlled seating, standard stage and décor coordination, bridal room, backup generator, managed parking. Rates are realistic training estimates, not confirmed quotes, and may vary by menu, date, guest count, décor scope, taxes and service charges.</t>
  </si>
  <si>
    <t>176</t>
  </si>
  <si>
    <t>Heaven Marquee</t>
  </si>
  <si>
    <t>Heaven Marquee is a premium marquee / lawn in Township, Lahore, with an estimated seated capacity of 925 guests. The venue profile includes 3 banquet halls and an outdoor lawn/marquee option, air-conditioning, bridal support, event staff and generator-backed operations for weddings, receptions, walima and corporate gatherings.</t>
  </si>
  <si>
    <t>301 Civic Centre, Township, Lahore, 54770</t>
  </si>
  <si>
    <t>03055501132</t>
  </si>
  <si>
    <t>03122746993</t>
  </si>
  <si>
    <t>PKR 2,350-4,900 per person</t>
  </si>
  <si>
    <t>Premium one-dish per-person estimate: chicken PKR 2,350, beef PKR 3,050 and mutton PKR 4,900.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</si>
  <si>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177</t>
  </si>
  <si>
    <t>The Grand Marquee (GM Events) - Branch 2</t>
  </si>
  <si>
    <t>The Grand Marquee (GM Events) - Branch 2 is a premium marquee / lawn in Johar Town, Lahore, with an estimated seated capacity of 1,025 guests. The venue profile includes 3 banquet halls and an outdoor lawn/marquee option, air-conditioning, bridal support, event staff and generator-backed operations for weddings, receptions, walima and corporate gatherings.</t>
  </si>
  <si>
    <t>Plot 229, Block N, Phase 2 Johar Town, Lahore, 54000</t>
  </si>
  <si>
    <t>03346996654</t>
  </si>
  <si>
    <t>04239740565</t>
  </si>
  <si>
    <t>PKR 2,300-4,800 per person</t>
  </si>
  <si>
    <t>Premium one-dish per-person estimate: chicken PKR 2,300, beef PKR 3,150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</si>
  <si>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178</t>
  </si>
  <si>
    <t>Grand Orchid Marquee</t>
  </si>
  <si>
    <t>Grand Orchid Marquee is a premium marquee / lawn in Township, Lahore, with an estimated seated capacity of 900 guests. The venue profile includes 3 banquet halls and an outdoor lawn/marquee option, air-conditioning, bridal support, event staff and generator-backed operations for weddings, receptions, walima and corporate gatherings.</t>
  </si>
  <si>
    <t>423 Civic Centre, Township, Lahore, 54770</t>
  </si>
  <si>
    <t>03466641908</t>
  </si>
  <si>
    <t>04238664144</t>
  </si>
  <si>
    <t>PKR 2,450-4,400 per person</t>
  </si>
  <si>
    <t>Premium one-dish per-person estimate: chicken PKR 2,450, beef PKR 3,350 and mutton PKR 4,400.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</si>
  <si>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179</t>
  </si>
  <si>
    <t>Abu Dhabi Palace Marriage Hall</t>
  </si>
  <si>
    <t>Abu Dhabi Palace Marriage Hall is a premium banquet hall in DHA Phase 8, Lahore, with an estimated seated capacity of 625 guests. The venue profile includes 1 banquet hall, air-conditioning, bridal support, event staff and generator-backed operations for weddings, receptions, walima and corporate gatherings.</t>
  </si>
  <si>
    <t>Plot 108, Airport Road, DHA Phase 8, Lahore, 54810</t>
  </si>
  <si>
    <t>03132800426</t>
  </si>
  <si>
    <t>03114937033</t>
  </si>
  <si>
    <t>PKR 2,600-4,350 per person</t>
  </si>
  <si>
    <t>Premium one-dish per-person estimate: chicken PKR 2,600, beef PKR 3,150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</si>
  <si>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180</t>
  </si>
  <si>
    <t>Imran Hall</t>
  </si>
  <si>
    <t>Imran Hall is a standard banquet hall in Marghzar, Lahore, with an estimated seated capacity of 525 guests. The venue profile includes 1 banquet hall, air-conditioning, bridal support, event staff and generator-backed operations for weddings, receptions, walima and corporate gatherings.</t>
  </si>
  <si>
    <t>03235747167</t>
  </si>
  <si>
    <t>03264831231</t>
  </si>
  <si>
    <t>PKR 1,800-3,900 per person</t>
  </si>
  <si>
    <t>Standard one-dish per-person estimate: chicken PKR 1,800, beef PKR 2,650 and mutton PKR 3,900. Includes climate-controlled seating, standard stage and décor coordination, bridal room, backup generator, managed parking. Rates are realistic training estimates, not confirmed quotes, and may vary by menu, date, guest count, décor scope, taxes and service charges.</t>
  </si>
  <si>
    <t>181</t>
  </si>
  <si>
    <t>Grandiel 8 Marquee</t>
  </si>
  <si>
    <t>Grandiel 8 Marquee is a premium marquee / lawn in Sabzazar, Lahore, with an estimated seated capacity of 875 guests. The venue profile includes 2 banquet halls and an outdoor lawn/marquee option, air-conditioning, bridal support, event staff and generator-backed operations for weddings, receptions, walima and corporate gatherings.</t>
  </si>
  <si>
    <t>148 Main Boulevard, Sabzazar, Lahore, 54500</t>
  </si>
  <si>
    <t>03071644294</t>
  </si>
  <si>
    <t>04238857320</t>
  </si>
  <si>
    <t>PKR 2,250-4,950 per person</t>
  </si>
  <si>
    <t>Premium one-dish per-person estimate: chicken PKR 2,250, beef PKR 3,200 and mutton PKR 4,950.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</si>
  <si>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sabzazar, traditional, marquee, large capacity, lawn, premium, marquee lawn, realistic package, per head pricing</t>
  </si>
  <si>
    <t>182</t>
  </si>
  <si>
    <t>Gourmet Central Marquee</t>
  </si>
  <si>
    <t>Gourmet Central Marquee is a premium marquee / lawn in DHA Phase 8, Lahore, with an estimated seated capacity of 975 guests. The venue profile includes 2 banquet halls and an outdoor lawn/marquee option, air-conditioning, bridal support, event staff and generator-backed operations for weddings, receptions, walima and corporate gatherings.</t>
  </si>
  <si>
    <t>Plot 23, Airport Road, DHA Phase 8, Lahore, 54810</t>
  </si>
  <si>
    <t>03014270081</t>
  </si>
  <si>
    <t>04236433336</t>
  </si>
  <si>
    <t>PKR 3,000-5,350 per person</t>
  </si>
  <si>
    <t>Premium one-dish per-person estimate: chicken PKR 3,000, beef PKR 3,600 and mutton PKR 5,350.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</si>
  <si>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dha phase 8 (includes park view &amp; air avenue), traditional, marquee, large capacity, lawn, premium, marquee lawn, realistic package, per head pricing</t>
  </si>
  <si>
    <t>183</t>
  </si>
  <si>
    <t>Fort Marquee</t>
  </si>
  <si>
    <t>Fort Marquee is a premium marquee / lawn in Model Town, Lahore, with an estimated seated capacity of 975 guests. The venue profile includes 2 banquet halls and an outdoor lawn/marquee option, air-conditioning, bridal support, event staff and generator-backed operations for weddings, receptions, walima and corporate gatherings.</t>
  </si>
  <si>
    <t>30 Lower Mall Road, Model Town Link, Lahore, 54000</t>
  </si>
  <si>
    <t>03148821711</t>
  </si>
  <si>
    <t>03072127785</t>
  </si>
  <si>
    <t>Premium one-dish per-person estimate: chicken PKR 2,500, beef PKR 3,450 and mutton PKR 5,350.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</si>
  <si>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model town, traditional, marquee, large capacity, lawn, premium, marquee lawn, realistic package, per head pricing</t>
  </si>
  <si>
    <t>184</t>
  </si>
  <si>
    <t>Khurshid Banquet Hall</t>
  </si>
  <si>
    <t>Khurshid Banquet Hall is a standard banquet hall in Johar Town, Lahore, with an estimated seated capacity of 325 guests. The venue profile includes 1 banquet hall, air-conditioning, bridal support, event staff and generator-backed operations for weddings, receptions, walima and corporate gatherings.</t>
  </si>
  <si>
    <t>211 Maulana Shaukat Ali Road, Johar Town, Lahore, 54000</t>
  </si>
  <si>
    <t>03463846582</t>
  </si>
  <si>
    <t>03217309755</t>
  </si>
  <si>
    <t>PKR 2,150-4,500 per person</t>
  </si>
  <si>
    <t>Standard one-dish per-person estimate: chicken PKR 2,150, beef PKR 2,750 and mutton PKR 4,500. Includes climate-controlled seating, standard stage and décor coordination, bridal room, backup generator. Rates are realistic training estimates, not confirmed quotes, and may vary by menu, date, guest count, décor scope, taxes and service charges.</t>
  </si>
  <si>
    <t>185</t>
  </si>
  <si>
    <t>Royal Banquet</t>
  </si>
  <si>
    <t>Royal Banquet is a premium banquet hall in Johar Town, Lahore, with an estimated seated capacity of 550 guests. The venue profile includes 1 banquet hall, air-conditioning, bridal support, event staff and generator-backed operations for weddings, receptions, walima and corporate gatherings.</t>
  </si>
  <si>
    <t>Plot 63, Block H, Phase 2 Johar Town, Lahore, 54000</t>
  </si>
  <si>
    <t>03015206105</t>
  </si>
  <si>
    <t>03136911055</t>
  </si>
  <si>
    <t>PKR 2,300-4,550 per person</t>
  </si>
  <si>
    <t>Premium one-dish per-person estimate: chicken PKR 2,300, beef PKR 2,800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</si>
  <si>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186</t>
  </si>
  <si>
    <t>Dubai Palace Banquet Hall</t>
  </si>
  <si>
    <t>Dubai Palace Banquet Hall is a premium banquet hall in Johar Town, Lahore, with an estimated seated capacity of 325 guests. The venue profile includes 1 banquet hall, air-conditioning, bridal support, event staff and generator-backed operations for weddings, receptions, walima and corporate gatherings.</t>
  </si>
  <si>
    <t>Plot 338, Block K, Phase 1 Johar Town, Lahore, 54000</t>
  </si>
  <si>
    <t>03049516696</t>
  </si>
  <si>
    <t>03322099282</t>
  </si>
  <si>
    <t>PKR 2,250-4,250 per person</t>
  </si>
  <si>
    <t>Premium one-dish per-person estimate: chicken PKR 2,250, beef PKR 3,150 and mutton PKR 4,250. Includes climate-controlled seating, standard stage and décor coordination, bridal room, backup generator. Rates are realistic training estimates, not confirmed quotes, and may vary by menu, date, guest count, décor scope, taxes and service charges.</t>
  </si>
  <si>
    <t>187</t>
  </si>
  <si>
    <t>QASR E AMIN Banquet Hall &amp; Event Planers</t>
  </si>
  <si>
    <t>QASR E AMIN Banquet Hall &amp; Event Planers is a premium banquet hall in DHA Phase 8, Lahore, with an estimated seated capacity of 700 guests. The venue profile includes 1 banquet hall, air-conditioning, bridal support, event staff and generator-backed operations for weddings, receptions, walima and corporate gatherings.</t>
  </si>
  <si>
    <t>Plot 266, Airport Road, DHA Phase 8, Lahore, 54810</t>
  </si>
  <si>
    <t>03117377985</t>
  </si>
  <si>
    <t>03343315701</t>
  </si>
  <si>
    <t>PKR 2,350-3,900 per person</t>
  </si>
  <si>
    <t>Premium one-dish per-person estimate: chicken PKR 2,350, beef PKR 2,800 and mutton PKR 3,900. Includes climate-controlled seating, standard stage and décor coordination, bridal room, backup generator, managed parking. Rates are realistic training estimates, not confirmed quotes, and may vary by menu, date, guest count, décor scope, taxes and service charges.</t>
  </si>
  <si>
    <t>188</t>
  </si>
  <si>
    <t>DYNASTY Garrison - Hall 21</t>
  </si>
  <si>
    <t>DYNASTY Garrison - Hall 21 is a premium club / garrison venue in Cantt, Lahore, with an estimated seated capacity of 775 guests. The venue profile includes 2 banquet halls, air-conditioning, bridal support, event staff and generator-backed operations for weddings, receptions, walima and corporate gatherings.</t>
  </si>
  <si>
    <t>195 Khursheed Alam Road, Cavalry Ground, Lahore, 54810</t>
  </si>
  <si>
    <t>03035597951</t>
  </si>
  <si>
    <t>03177737717</t>
  </si>
  <si>
    <t>PKR 2,350-4,350 per person</t>
  </si>
  <si>
    <t>Premium one-dish per-person estimate: chicken PKR 2,350, beef PKR 3,100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</si>
  <si>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189</t>
  </si>
  <si>
    <t>Al-Fajar Banquet Hall</t>
  </si>
  <si>
    <t>Al-Fajar Banquet Hall is a standard banquet hall in DHA Phase 8, Lahore, with an estimated seated capacity of 600 guests. The venue profile includes 1 banquet hall, air-conditioning, bridal support, event staff and generator-backed operations for weddings, receptions, walima and corporate gatherings.</t>
  </si>
  <si>
    <t>03143134461</t>
  </si>
  <si>
    <t>03026338132</t>
  </si>
  <si>
    <t>PKR 2,100-3,650 per person</t>
  </si>
  <si>
    <t>Standard one-dish per-person estimate: chicken PKR 2,100, beef PKR 2,550 and mutton PKR 3,650. Includes climate-controlled seating, standard stage and décor coordination, bridal room, backup generator, managed parking. Rates are realistic training estimates, not confirmed quotes, and may vary by menu, date, guest count, décor scope, taxes and service charges.</t>
  </si>
  <si>
    <t>190</t>
  </si>
  <si>
    <t>Rose Marriage Garden</t>
  </si>
  <si>
    <t>Rose Marriage Garden is a premium marquee / lawn in DHA Phase 8, Lahore, with an estimated seated capacity of 700 guests. The venue profile includes 1 banquet hall and an outdoor lawn/marquee option, air-conditioning, bridal support, event staff and generator-backed operations for weddings, receptions, walima and corporate gatherings.</t>
  </si>
  <si>
    <t>Plot 245, Airport Road, DHA Phase 8, Lahore, 54810</t>
  </si>
  <si>
    <t>03142067348</t>
  </si>
  <si>
    <t>03124995904</t>
  </si>
  <si>
    <t>PKR 2,650-4,300 per person</t>
  </si>
  <si>
    <t>Premium one-dish per-person estimate: chicken PKR 2,650, beef PKR 3,150 and mutton PKR 4,300.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</si>
  <si>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191</t>
  </si>
  <si>
    <t>Grace Banquet Hall</t>
  </si>
  <si>
    <t>Grace Banquet Hall is a standard banquet hall in Gulberg, Lahore, with an estimated seated capacity of 325 guests. The venue profile includes 1 banquet hall, air-conditioning, bridal support, event staff and generator-backed operations for weddings, receptions, walima and corporate gatherings.</t>
  </si>
  <si>
    <t>446 Hali Road, Block E1, Gulberg III, Lahore, 54000</t>
  </si>
  <si>
    <t>03142208457</t>
  </si>
  <si>
    <t>03243945968</t>
  </si>
  <si>
    <t>PKR 2,100-4,000 per person</t>
  </si>
  <si>
    <t>Standard one-dish per-person estimate: chicken PKR 2,100, beef PKR 2,900 and mutton PKR 4,000. Includes climate-controlled seating, standard stage and décor coordination, bridal room, backup generator. Rates are realistic training estimates, not confirmed quotes, and may vary by menu, date, guest count, décor scope, taxes and service charges.</t>
  </si>
  <si>
    <t>192</t>
  </si>
  <si>
    <t>Marquesina</t>
  </si>
  <si>
    <t>Marquesina is a standard banquet hall in Garden Town, Lahore, with an estimated seated capacity of 500 guests. The venue profile includes 1 banquet hall, air-conditioning, bridal support, event staff and generator-backed operations for weddings, receptions, walima and corporate gatherings.</t>
  </si>
  <si>
    <t>128 Main Boulevard, New Garden Town, Lahore, 54000</t>
  </si>
  <si>
    <t>03232674153</t>
  </si>
  <si>
    <t>03013139436</t>
  </si>
  <si>
    <t>Standard one-dish per-person estimate: chicken PKR 2,100, beef PKR 3,050 and mutton PKR 4,300. Includes climate-controlled seating, standard stage and décor coordination, bridal room, backup generator, managed parking. Rates are realistic training estimates, not confirmed quotes, and may vary by menu, date, guest count, décor scope, taxes and service charges.</t>
  </si>
  <si>
    <t>193</t>
  </si>
  <si>
    <t>The Royal Palace Event Complex</t>
  </si>
  <si>
    <t>The Royal Palace Event Complex is a premium banquet hall in Township, Lahore, with an estimated seated capacity of 600 guests. The venue profile includes 1 banquet hall, air-conditioning, bridal support, event staff and generator-backed operations for weddings, receptions, walima and corporate gatherings.</t>
  </si>
  <si>
    <t>122 Shah Jilani Road, Township, Lahore, 54770</t>
  </si>
  <si>
    <t>03332946122</t>
  </si>
  <si>
    <t>03217935878</t>
  </si>
  <si>
    <t>PKR 2,300-4,200 per person</t>
  </si>
  <si>
    <t>Premium one-dish per-person estimate: chicken PKR 2,300, beef PKR 3,250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</si>
  <si>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township, traditional, premium, realistic package, per head pricing</t>
  </si>
  <si>
    <t>194</t>
  </si>
  <si>
    <t>Crystal Banquet Hall</t>
  </si>
  <si>
    <t>Crystal Banquet Hall is a premium banquet hall in DHA Phase 8, Lahore, with an estimated seated capacity of 350 guests. The venue profile includes 1 banquet hall, air-conditioning, bridal support, event staff and generator-backed operations for weddings, receptions, walima and corporate gatherings.</t>
  </si>
  <si>
    <t>Plot 489, Airport Road, DHA Phase 8, Lahore, 54810</t>
  </si>
  <si>
    <t>03338666421</t>
  </si>
  <si>
    <t>04239216508</t>
  </si>
  <si>
    <t>Premium one-dish per-person estimate: chicken PKR 2,200, beef PKR 2,950 and mutton PKR 4,850. Includes climate-controlled seating, standard stage and décor coordination, bridal room, backup generator. Rates are realistic training estimates, not confirmed quotes, and may vary by menu, date, guest count, décor scope, taxes and service charges.</t>
  </si>
  <si>
    <t>195</t>
  </si>
  <si>
    <t>Khan-e-Azam Banquet Hall</t>
  </si>
  <si>
    <t>Khan-e-Azam Banquet Hall is a budget banquet hall in Marghzar, Lahore, with an estimated seated capacity of 350 guests. The venue profile includes 1 banquet hall, air-conditioning, bridal support, event staff and generator-backed operations for weddings, receptions, walima and corporate gatherings.</t>
  </si>
  <si>
    <t>409 Main Road, Marghzar Colony, Lahore</t>
  </si>
  <si>
    <t>03031410685</t>
  </si>
  <si>
    <t>03051023927</t>
  </si>
  <si>
    <t>PKR 1,400-3,150 per person</t>
  </si>
  <si>
    <t>Budget one-dish per-person estimate: chicken PKR 1,400, beef PKR 2,100 and mutton PKR 3,150. Includes climate-controlled seating, standard stage and décor coordination, bridal room, backup generator. Rates are realistic training estimates, not confirmed quotes, and may vary by menu, date, guest count, décor scope, taxes and service charges.</t>
  </si>
  <si>
    <t>196</t>
  </si>
  <si>
    <t>Royal Palace Banquet Hall</t>
  </si>
  <si>
    <t>Royal Palace Banquet Hall is a premium banquet hall in Johar Town, Lahore, with an estimated seated capacity of 325 guests. The venue profile includes 1 banquet hall, air-conditioning, bridal support, event staff and generator-backed operations for weddings, receptions, walima and corporate gatherings.</t>
  </si>
  <si>
    <t>501 Maulana Shaukat Ali Road, Johar Town, Lahore, 54000</t>
  </si>
  <si>
    <t>03049434177</t>
  </si>
  <si>
    <t>03018890474</t>
  </si>
  <si>
    <t>Premium one-dish per-person estimate: chicken PKR 2,300, beef PKR 3,250 and mutton PKR 4,600. Includes climate-controlled seating, standard stage and décor coordination, bridal room, backup generator. Rates are realistic training estimates, not confirmed quotes, and may vary by menu, date, guest count, décor scope, taxes and service charges.</t>
  </si>
  <si>
    <t>197</t>
  </si>
  <si>
    <t>Seven Star Event Complex</t>
  </si>
  <si>
    <t>Seven Star Event Complex is a premium banquet hall in Johar Town, Lahore, with an estimated seated capacity of 675 guests. The venue profile includes 1 banquet hall, air-conditioning, bridal support, event staff and generator-backed operations for weddings, receptions, walima and corporate gatherings.</t>
  </si>
  <si>
    <t>Civic Centre, Block C, Johar Town, Lahore, 54770</t>
  </si>
  <si>
    <t>03118621428</t>
  </si>
  <si>
    <t>03238062380</t>
  </si>
  <si>
    <t>PKR 2,250-4,800 per person</t>
  </si>
  <si>
    <t>Premium one-dish per-person estimate: chicken PKR 2,250, beef PKR 3,100 and mutton PKR 4,800. Includes climate-controlled seating, standard stage and décor coordination, bridal room, backup generator, managed parking. Rates are realistic training estimates, not confirmed quotes, and may vary by menu, date, guest count, décor scope, taxes and service charges.</t>
  </si>
  <si>
    <t>198</t>
  </si>
  <si>
    <t>Mughal-e-Azam Fort - Branch 2</t>
  </si>
  <si>
    <t>Mughal-e-Azam Fort - Branch 2 is a premium club / garrison venue in Cantt, Lahore, with an estimated seated capacity of 475 guests. The venue profile includes 2 banquet halls, air-conditioning, bridal support, event staff and generator-backed operations for weddings, receptions, walima and corporate gatherings.</t>
  </si>
  <si>
    <t>03346081712</t>
  </si>
  <si>
    <t>04236568762</t>
  </si>
  <si>
    <t>PKR 2,700-4,200 per person</t>
  </si>
  <si>
    <t>Premium one-dish per-person estimate: chicken PKR 2,700, beef PKR 3,200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</si>
  <si>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199</t>
  </si>
  <si>
    <t>Empire Marquees Johar Town</t>
  </si>
  <si>
    <t>Empire Marquees Johar Town is a premium marquee / lawn in Johar Town, Lahore, with an estimated seated capacity of 675 guests. The venue profile includes 1 banquet hall and an outdoor lawn/marquee option, air-conditioning, bridal support, event staff and generator-backed operations for weddings, receptions, walima and corporate gatherings.</t>
  </si>
  <si>
    <t>03333979288</t>
  </si>
  <si>
    <t>03133303420</t>
  </si>
  <si>
    <t>PKR 2,300-4,350 per person</t>
  </si>
  <si>
    <t>Premium one-dish per-person estimate: chicken PKR 2,300, beef PKR 2,950 and mutton PKR 4,350.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</si>
  <si>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200</t>
  </si>
  <si>
    <t>Crown Marriage Hall</t>
  </si>
  <si>
    <t>Crown Marriage Hall is a standard banquet hall in Marghzar, Lahore, with an estimated seated capacity of 475 guests. The venue profile includes 1 banquet hall, air-conditioning, bridal support, event staff and generator-backed operations for weddings, receptions, walima and corporate gatherings.</t>
  </si>
  <si>
    <t>694 Main Road, Marghzar Colony, Lahore</t>
  </si>
  <si>
    <t>03039464518</t>
  </si>
  <si>
    <t>03225532907</t>
  </si>
  <si>
    <t>PKR 1,900-3,800 per person</t>
  </si>
  <si>
    <t>Standard one-dish per-person estimate: chicken PKR 1,900, beef PKR 2,750 and mutton PKR 3,800. Includes climate-controlled seating, standard stage and décor coordination, bridal room, backup generator, managed parking. Rates are realistic training estimates, not confirmed quotes, and may vary by menu, date, guest count, décor scope, taxes and service charges.</t>
  </si>
  <si>
    <t>201</t>
  </si>
  <si>
    <t>Dewan-e-Khaas</t>
  </si>
  <si>
    <t>Dewan-e-Khaas is a standard banquet hall in Johar Town, Lahore, with an estimated seated capacity of 475 guests. The venue profile includes 1 banquet hall, air-conditioning, bridal support, event staff and generator-backed operations for weddings, receptions, walima and corporate gatherings.</t>
  </si>
  <si>
    <t>600 Maulana Shaukat Ali Road, Johar Town, Lahore, 54000</t>
  </si>
  <si>
    <t>03015509608</t>
  </si>
  <si>
    <t>04237412887</t>
  </si>
  <si>
    <t>Standard one-dish per-person estimate: chicken PKR 2,000, beef PKR 2,800 and mutton PKR 4,900. Includes climate-controlled seating, standard stage and décor coordination, bridal room, backup generator. Rates are realistic training estimates, not confirmed quotes, and may vary by menu, date, guest count, décor scope, taxes and service charges.</t>
  </si>
  <si>
    <t>202</t>
  </si>
  <si>
    <t>DHA Event Halls</t>
  </si>
  <si>
    <t>DHA Event Halls is a standard banquet hall in DHA Phase 8, Lahore, with an estimated seated capacity of 525 guests. The venue profile includes 1 banquet hall, air-conditioning, bridal support, event staff and generator-backed operations for weddings, receptions, walima and corporate gatherings.</t>
  </si>
  <si>
    <t>Plot 330, Airport Road, DHA Phase 8, Lahore, 54810</t>
  </si>
  <si>
    <t>03238249187</t>
  </si>
  <si>
    <t>04235803207</t>
  </si>
  <si>
    <t>Standard one-dish per-person estimate: chicken PKR 2,150, beef PKR 3,100 and mutton PKR 5,100. Includes climate-controlled seating, standard stage and décor coordination, bridal room, backup generator. Rates are realistic training estimates, not confirmed quotes, and may vary by menu, date, guest count, décor scope, taxes and service charges.</t>
  </si>
  <si>
    <t>203</t>
  </si>
  <si>
    <t>Nawab Palace Marquees &amp; Farm House</t>
  </si>
  <si>
    <t>Nawab Palace Marquees &amp; Farm House is a premium club / garrison venue in Cantt, Lahore, with an estimated seated capacity of 875 guests. The venue profile includes 3 banquet halls and an outdoor lawn/marquee option, air-conditioning, bridal support, event staff and generator-backed operations for weddings, receptions, walima and corporate gatherings.</t>
  </si>
  <si>
    <t>579 Khursheed Alam Road, Cavalry Ground, Lahore, 54810</t>
  </si>
  <si>
    <t>03219628841</t>
  </si>
  <si>
    <t>03150466475</t>
  </si>
  <si>
    <t>PKR 2,500-4,300 per person</t>
  </si>
  <si>
    <t>Premium one-dish per-person estimate: chicken PKR 2,500, beef PKR 3,250 and mutton PKR 4,300.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</si>
  <si>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lahore, wedding, shaadi, reception, walima, marriage hall, banquet hall, cantt, traditional, marquee, farm house, large capacity, lawn, cantt (cavalry ground, saddar, etc.), premium, club garrison venue, realistic package, per head pricing</t>
  </si>
  <si>
    <t>204</t>
  </si>
  <si>
    <t>Bagh-e-Baghdadi Banquet Hall</t>
  </si>
  <si>
    <t>Bagh-e-Baghdadi Banquet Hall is a budget banquet hall in Township, Lahore, with an estimated seated capacity of 675 guests. The venue profile includes 1 banquet hall, air-conditioning, bridal support, event staff and generator-backed operations for weddings, receptions, walima and corporate gatherings.</t>
  </si>
  <si>
    <t>682 Civic Centre, Township, Lahore, 54770</t>
  </si>
  <si>
    <t>03234612235</t>
  </si>
  <si>
    <t>03146312638</t>
  </si>
  <si>
    <t>PKR 1,550-3,800 per person</t>
  </si>
  <si>
    <t>Budget one-dish per-person estimate: chicken PKR 1,550, beef PKR 2,350 and mutton PKR 3,800. Includes climate-controlled seating, standard stage and décor coordination, bridal room, backup generator, managed parking. Rates are realistic training estimates, not confirmed quotes, and may vary by menu, date, guest count, décor scope, taxes and service charges.</t>
  </si>
  <si>
    <t>205</t>
  </si>
  <si>
    <t>Prince Hall</t>
  </si>
  <si>
    <t>Prince Hall is a premium banquet hall in Gulberg, Lahore, with an estimated seated capacity of 650 guests. The venue profile includes 1 banquet hall, air-conditioning, bridal support, event staff and generator-backed operations for weddings, receptions, walima and corporate gatherings.</t>
  </si>
  <si>
    <t>Plot 246, Main Boulevard Gulberg III, Lahore, 54660</t>
  </si>
  <si>
    <t>03338850645</t>
  </si>
  <si>
    <t>03082753229</t>
  </si>
  <si>
    <t>PKR 2,250-3,950 per person</t>
  </si>
  <si>
    <t>Premium one-dish per-person estimate: chicken PKR 2,250, beef PKR 2,950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</si>
  <si>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206</t>
  </si>
  <si>
    <t>Anarkali Events Complex</t>
  </si>
  <si>
    <t>Anarkali Events Complex is a premium marquee / lawn in Raiwind Road, Lahore, with an estimated seated capacity of 750 guests. The venue profile includes 1 banquet hall and an outdoor lawn/marquee option, air-conditioning, bridal support, event staff and generator-backed operations for weddings, receptions, walima and corporate gatherings.</t>
  </si>
  <si>
    <t>03029115512</t>
  </si>
  <si>
    <t>03032509771</t>
  </si>
  <si>
    <t>Premium one-dish per-person estimate: chicken PKR 2,300, beef PKR 3,250 and mutton PKR 5,000.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</si>
  <si>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207</t>
  </si>
  <si>
    <t>Daffodils Marquee - Branch 2</t>
  </si>
  <si>
    <t>Daffodils Marquee - Branch 2 is a premium marquee / lawn in Johar Town, Lahore, with an estimated seated capacity of 825 guests. The venue profile includes 3 banquet halls and an outdoor lawn/marquee option, air-conditioning, bridal support, event staff and generator-backed operations for weddings, receptions, walima and corporate gatherings.</t>
  </si>
  <si>
    <t>Plot 557, Block D, Phase 2 Johar Town, Lahore, 54000</t>
  </si>
  <si>
    <t>03204226030</t>
  </si>
  <si>
    <t>03018054168</t>
  </si>
  <si>
    <t>PKR 2,200-4,750 per person</t>
  </si>
  <si>
    <t>Premium one-dish per-person estimate: chicken PKR 2,200, beef PKR 3,000 and mutton PKR 4,750.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</si>
  <si>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208</t>
  </si>
  <si>
    <t>Zafar Banquet Hall</t>
  </si>
  <si>
    <t>Zafar Banquet Hall is a standard banquet hall in Johar Town, Lahore, with an estimated seated capacity of 325 guests. The venue profile includes 1 banquet hall, air-conditioning, bridal support, event staff and generator-backed operations for weddings, receptions, walima and corporate gatherings.</t>
  </si>
  <si>
    <t>202 Maulana Shaukat Ali Road, Johar Town, Lahore, 54000</t>
  </si>
  <si>
    <t>03014572151</t>
  </si>
  <si>
    <t>04236121290</t>
  </si>
  <si>
    <t>PKR 1,850-4,300 per person</t>
  </si>
  <si>
    <t>Standard one-dish per-person estimate: chicken PKR 1,850, beef PKR 2,850 and mutton PKR 4,300. Includes climate-controlled seating, standard stage and décor coordination, bridal room, backup generator. Rates are realistic training estimates, not confirmed quotes, and may vary by menu, date, guest count, décor scope, taxes and service charges.</t>
  </si>
  <si>
    <t>209</t>
  </si>
  <si>
    <t>Nasir Marriage Hall</t>
  </si>
  <si>
    <t>Nasir Marriage Hall is a premium banquet hall in Gulberg, Lahore, with an estimated seated capacity of 525 guests. The venue profile includes 1 banquet hall, air-conditioning, bridal support, event staff and generator-backed operations for weddings, receptions, walima and corporate gatherings.</t>
  </si>
  <si>
    <t>512 Kalma Chowk Road, Gulberg III, Lahore, 54000</t>
  </si>
  <si>
    <t>03143933660</t>
  </si>
  <si>
    <t>03445846671</t>
  </si>
  <si>
    <t>Premium one-dish per-person estimate: chicken PKR 2,500, beef PKR 3,200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</si>
  <si>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210</t>
  </si>
  <si>
    <t>Ayan Banquet Hall</t>
  </si>
  <si>
    <t>Ayan Banquet Hall is a standard banquet hall in Johar Town, Lahore, with an estimated seated capacity of 600 guests. The venue profile includes 1 banquet hall, air-conditioning, bridal support, event staff and generator-backed operations for weddings, receptions, walima and corporate gatherings.</t>
  </si>
  <si>
    <t>Civic Centre, Block F, Johar Town, Lahore, 54770</t>
  </si>
  <si>
    <t>03343199057</t>
  </si>
  <si>
    <t>03108186505</t>
  </si>
  <si>
    <t>PKR 2,100-4,650 per person</t>
  </si>
  <si>
    <t>Standard one-dish per-person estimate: chicken PKR 2,100, beef PKR 3,050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</si>
  <si>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211</t>
  </si>
  <si>
    <t>Asia Palace Banquet Hall</t>
  </si>
  <si>
    <t>Asia Palace Banquet Hall is a standard banquet hall in Johar Town, Lahore, with an estimated seated capacity of 500 guests. The venue profile includes 1 banquet hall, air-conditioning, bridal support, event staff and generator-backed operations for weddings, receptions, walima and corporate gatherings.</t>
  </si>
  <si>
    <t>03124938401</t>
  </si>
  <si>
    <t>03442556409</t>
  </si>
  <si>
    <t>PKR 1,950-4,650 per person</t>
  </si>
  <si>
    <t>Standard one-dish per-person estimate: chicken PKR 1,950, beef PKR 2,850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</si>
  <si>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212</t>
  </si>
  <si>
    <t>Grand Event Hall</t>
  </si>
  <si>
    <t>Grand Event Hall is a standard multi-hall banquet in Sabzazar, Lahore, with an estimated seated capacity of 725 guests. The venue profile includes 2 banquet halls, air-conditioning, bridal support, event staff and generator-backed operations for weddings, receptions, walima and corporate gatherings.</t>
  </si>
  <si>
    <t>03345293730</t>
  </si>
  <si>
    <t>04236676883</t>
  </si>
  <si>
    <t>PKR 2,000-3,850 per person</t>
  </si>
  <si>
    <t>Standard one-dish per-person estimate: chicken PKR 2,000, beef PKR 2,750 and mutton PKR 3,850. Includes climate-controlled seating, standard stage and décor coordination, bridal room, backup generator, managed parking. Rates are realistic training estimates, not confirmed quotes, and may vary by menu, date, guest count, décor scope, taxes and service charges.</t>
  </si>
  <si>
    <t>213</t>
  </si>
  <si>
    <t>Liberty Castle</t>
  </si>
  <si>
    <t>Liberty Castle is a standard banquet hall in Johar Town, Lahore, with an estimated seated capacity of 475 guests. The venue profile includes 1 banquet hall, air-conditioning, bridal support, event staff and generator-backed operations for weddings, receptions, walima and corporate gatherings.</t>
  </si>
  <si>
    <t>Plot 400, Block M, Phase 2 Johar Town, Lahore, 54000</t>
  </si>
  <si>
    <t>03357964437</t>
  </si>
  <si>
    <t>04235518452</t>
  </si>
  <si>
    <t>PKR 2,000-4,500 per person</t>
  </si>
  <si>
    <t>Standard one-dish per-person estimate: chicken PKR 2,000, beef PKR 2,600 and mutton PKR 4,500. Includes climate-controlled seating, standard stage and décor coordination, bridal room, backup generator. Rates are realistic training estimates, not confirmed quotes, and may vary by menu, date, guest count, décor scope, taxes and service charges.</t>
  </si>
  <si>
    <t>214</t>
  </si>
  <si>
    <t>Farooq Banquet Hall</t>
  </si>
  <si>
    <t>Farooq Banquet Hall is a standard banquet hall in Sabzazar, Lahore, with an estimated seated capacity of 500 guests. The venue profile includes 1 banquet hall, air-conditioning, bridal support, event staff and generator-backed operations for weddings, receptions, walima and corporate gatherings.</t>
  </si>
  <si>
    <t>Plot 151, Block H, Sabzazar Housing Scheme, Lahore, 54000</t>
  </si>
  <si>
    <t>03339603362</t>
  </si>
  <si>
    <t>03238313655</t>
  </si>
  <si>
    <t>PKR 1,700-4,150 per person</t>
  </si>
  <si>
    <t>Standard one-dish per-person estimate: chicken PKR 1,700, beef PKR 2,200 and mutton PKR 4,150. Includes climate-controlled seating, standard stage and décor coordination, bridal room, backup generator. Rates are realistic training estimates, not confirmed quotes, and may vary by menu, date, guest count, décor scope, taxes and service charges.</t>
  </si>
  <si>
    <t>215</t>
  </si>
  <si>
    <t>Regal Banquet Hall</t>
  </si>
  <si>
    <t>Regal Banquet Hall is a standard banquet hall in Sabzazar, Lahore, with an estimated seated capacity of 350 guests. The venue profile includes 1 banquet hall, air-conditioning, bridal support, event staff and generator-backed operations for weddings, receptions, walima and corporate gatherings.</t>
  </si>
  <si>
    <t>Plot 515, Block C, Sabzazar Housing Scheme, Lahore, 54000</t>
  </si>
  <si>
    <t>03057802466</t>
  </si>
  <si>
    <t>03333171666</t>
  </si>
  <si>
    <t>Standard one-dish per-person estimate: chicken PKR 1,900, beef PKR 2,750 and mutton PKR 4,250. Includes climate-controlled seating, standard stage and décor coordination, bridal room, backup generator. Rates are realistic training estimates, not confirmed quotes, and may vary by menu, date, guest count, décor scope, taxes and service charges.</t>
  </si>
  <si>
    <t>216</t>
  </si>
  <si>
    <t>Celebration Lounge</t>
  </si>
  <si>
    <t>Celebration Lounge is a budget banquet hall in Sabzazar, Lahore, with an estimated seated capacity of 550 guests. The venue profile includes 1 banquet hall, air-conditioning, bridal support, event staff and generator-backed operations for weddings, receptions, walima and corporate gatherings.</t>
  </si>
  <si>
    <t>Plot 607, Block B, Sabzazar Housing Scheme, Lahore, 54000</t>
  </si>
  <si>
    <t>03228319344</t>
  </si>
  <si>
    <t>03201451468</t>
  </si>
  <si>
    <t>PKR 1,400-2,850 per person</t>
  </si>
  <si>
    <t>Budget one-dish per-person estimate: chicken PKR 1,400, beef PKR 1,900 and mutton PKR 2,850. Includes climate-controlled seating, standard stage and décor coordination, bridal room, backup generator, managed parking. Rates are realistic training estimates, not confirmed quotes, and may vary by menu, date, guest count, décor scope, taxes and service charges.</t>
  </si>
  <si>
    <t>217</t>
  </si>
  <si>
    <t>Rehmat Banquet Hall</t>
  </si>
  <si>
    <t>Rehmat Banquet Hall is a standard banquet hall in Sabzazar, Lahore, with an estimated seated capacity of 500 guests. The venue profile includes 1 banquet hall, air-conditioning, bridal support, event staff and generator-backed operations for weddings, receptions, walima and corporate gatherings.</t>
  </si>
  <si>
    <t>547 Main Boulevard, Sabzazar, Lahore, 54500</t>
  </si>
  <si>
    <t>03003606083</t>
  </si>
  <si>
    <t>03144237566</t>
  </si>
  <si>
    <t>Standard one-dish per-person estimate: chicken PKR 2,000, beef PKR 2,700 and mutton PKR 4,500. Includes climate-controlled seating, standard stage and décor coordination, bridal room, backup generator, managed parking. Rates are realistic training estimates, not confirmed quotes, and may vary by menu, date, guest count, décor scope, taxes and service charges.</t>
  </si>
  <si>
    <t>218</t>
  </si>
  <si>
    <t>Jasmine Hall</t>
  </si>
  <si>
    <t>Jasmine Hall is a premium banquet hall in Gulberg, Lahore, with an estimated seated capacity of 450 guests. The venue profile includes 1 banquet hall, air-conditioning, bridal support, event staff and generator-backed operations for weddings, receptions, walima and corporate gatherings.</t>
  </si>
  <si>
    <t>Plot 616, Main Boulevard Gulberg III, Lahore, 54660</t>
  </si>
  <si>
    <t>03137803639</t>
  </si>
  <si>
    <t>03218016842</t>
  </si>
  <si>
    <t>PKR 2,450-4,800 per person</t>
  </si>
  <si>
    <t>Premium one-dish per-person estimate: chicken PKR 2,450, beef PKR 3,050 and mutton PKR 4,800. Includes climate-controlled seating, standard stage and décor coordination, bridal room, backup generator, managed parking. Rates are realistic training estimates, not confirmed quotes, and may vary by menu, date, guest count, décor scope, taxes and service charges.</t>
  </si>
  <si>
    <t>219</t>
  </si>
  <si>
    <t>Bel Avenir Event Complex</t>
  </si>
  <si>
    <t>Bel Avenir Event Complex is a premium marquee / lawn in Garden Town, Lahore, with an estimated seated capacity of 950 guests. The venue profile includes 2 banquet halls and an outdoor lawn/marquee option, air-conditioning, bridal support, event staff and generator-backed operations for weddings, receptions, walima and corporate gatherings.</t>
  </si>
  <si>
    <t>Plot 304, Aibak Block, Garden Town, Lahore, 54000</t>
  </si>
  <si>
    <t>03011827036</t>
  </si>
  <si>
    <t>03173172332</t>
  </si>
  <si>
    <t>PKR 2,500-4,800 per person</t>
  </si>
  <si>
    <t>Premium one-dish per-person estimate: chicken PKR 2,500, beef PKR 3,300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</si>
  <si>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220</t>
  </si>
  <si>
    <t>Mughal e Azam Grand</t>
  </si>
  <si>
    <t>Mughal e Azam Grand is a standard banquet hall in Johar Town, Lahore, with an estimated seated capacity of 650 guests. The venue profile includes 1 banquet hall, air-conditioning, bridal support, event staff and generator-backed operations for weddings, receptions, walima and corporate gatherings.</t>
  </si>
  <si>
    <t>444 Maulana Shaukat Ali Road, Johar Town, Lahore, 54000</t>
  </si>
  <si>
    <t>03111444542</t>
  </si>
  <si>
    <t>03113945572</t>
  </si>
  <si>
    <t>PKR 2,000-4,050 per person</t>
  </si>
  <si>
    <t>Standard one-dish per-person estimate: chicken PKR 2,000, beef PKR 2,500 and mutton PKR 4,050. Includes climate-controlled seating, standard stage and décor coordination, bridal room, backup generator, managed parking. Rates are realistic training estimates, not confirmed quotes, and may vary by menu, date, guest count, décor scope, taxes and service charges.</t>
  </si>
  <si>
    <t>221</t>
  </si>
  <si>
    <t>Dustoor Banquet Hall</t>
  </si>
  <si>
    <t>Dustoor Banquet Hall is a standard banquet hall in Sabzazar, Lahore, with an estimated seated capacity of 525 guests. The venue profile includes 1 banquet hall, air-conditioning, bridal support, event staff and generator-backed operations for weddings, receptions, walima and corporate gatherings.</t>
  </si>
  <si>
    <t>358 Main Boulevard, Sabzazar, Lahore, 54500</t>
  </si>
  <si>
    <t>03116575660</t>
  </si>
  <si>
    <t>04238643166</t>
  </si>
  <si>
    <t>PKR 1,800-3,300 per person</t>
  </si>
  <si>
    <t>Standard one-dish per-person estimate: chicken PKR 1,800, beef PKR 2,300 and mutton PKR 3,300. Includes climate-controlled seating, standard stage and décor coordination, bridal room, backup generator, managed parking. Rates are realistic training estimates, not confirmed quotes, and may vary by menu, date, guest count, décor scope, taxes and service charges.</t>
  </si>
  <si>
    <t>222</t>
  </si>
  <si>
    <t>Aaqa Banquet Hall</t>
  </si>
  <si>
    <t>Aaqa Banquet Hall is a premium banquet hall in Johar Town, Lahore, with an estimated seated capacity of 475 guests. The venue profile includes 1 banquet hall, air-conditioning, bridal support, event staff and generator-backed operations for weddings, receptions, walima and corporate gatherings.</t>
  </si>
  <si>
    <t>616 Maulana Shaukat Ali Road, Johar Town, Lahore, 54000</t>
  </si>
  <si>
    <t>03202464452</t>
  </si>
  <si>
    <t>03133135731</t>
  </si>
  <si>
    <t>Premium one-dish per-person estimate: chicken PKR 2,200, beef PKR 2,900 and mutton PKR 4,050. Includes climate-controlled seating, standard stage and décor coordination, bridal room, backup generator, managed parking. Rates are realistic training estimates, not confirmed quotes, and may vary by menu, date, guest count, décor scope, taxes and service charges.</t>
  </si>
  <si>
    <t>223</t>
  </si>
  <si>
    <t>Grand banquet hall</t>
  </si>
  <si>
    <t>Grand banquet hall is a standard multi-hall banquet in Sabzazar, Lahore, with an estimated seated capacity of 950 guests. The venue profile includes 3 banquet halls, air-conditioning, bridal support, event staff and generator-backed operations for weddings, receptions, walima and corporate gatherings.</t>
  </si>
  <si>
    <t>03044309558</t>
  </si>
  <si>
    <t>04238766468</t>
  </si>
  <si>
    <t>PKR 1,800-4,850 per person</t>
  </si>
  <si>
    <t>Standard one-dish per-person estimate: chicken PKR 1,800, beef PKR 2,750 and mutton PKR 4,850. Includes climate-controlled seating, standard stage and décor coordination, bridal room, backup generator, managed parking. Rates are realistic training estimates, not confirmed quotes, and may vary by menu, date, guest count, décor scope, taxes and service charges.</t>
  </si>
  <si>
    <t>224</t>
  </si>
  <si>
    <t>Desom Banquet Halls</t>
  </si>
  <si>
    <t>Desom Banquet Halls is a premium club / garrison venue in Cantt, Lahore, with an estimated seated capacity of 650 guests. The venue profile includes 1 banquet hall, air-conditioning, bridal support, event staff and generator-backed operations for weddings, receptions, walima and corporate gatherings.</t>
  </si>
  <si>
    <t>336 Khursheed Alam Road, Cavalry Ground, Lahore, 54810</t>
  </si>
  <si>
    <t>03200927099</t>
  </si>
  <si>
    <t>04235089421</t>
  </si>
  <si>
    <t>PKR 2,300-4,150 per person</t>
  </si>
  <si>
    <t>Premium one-dish per-person estimate: chicken PKR 2,300, beef PKR 3,100 and mutton PKR 4,150. Includes climate-controlled seating, standard stage and décor coordination, bridal room, backup generator, managed parking. Rates are realistic training estimates, not confirmed quotes, and may vary by menu, date, guest count, décor scope, taxes and service charges.</t>
  </si>
  <si>
    <t>225</t>
  </si>
  <si>
    <t>Qasr-e-Waris Banquet Hall</t>
  </si>
  <si>
    <t>Qasr-e-Waris Banquet Hall is a standard banquet hall in Johar Town, Lahore, with an estimated seated capacity of 350 guests. The venue profile includes 1 banquet hall, air-conditioning, bridal support, event staff and generator-backed operations for weddings, receptions, walima and corporate gatherings.</t>
  </si>
  <si>
    <t>03077904887</t>
  </si>
  <si>
    <t>04233444397</t>
  </si>
  <si>
    <t>Standard one-dish per-person estimate: chicken PKR 1,900, beef PKR 2,800 and mutton PKR 4,200. Includes climate-controlled seating, standard stage and décor coordination, bridal room, backup generator. Rates are realistic training estimates, not confirmed quotes, and may vary by menu, date, guest count, décor scope, taxes and service charges.</t>
  </si>
  <si>
    <t>226</t>
  </si>
  <si>
    <t>Noor Mahal</t>
  </si>
  <si>
    <t>Noor Mahal is a premium banquet hall in DHA Phase 8, Lahore, with an estimated seated capacity of 500 guests. The venue profile includes 1 banquet hall, air-conditioning, bridal support, event staff and generator-backed operations for weddings, receptions, walima and corporate gatherings.</t>
  </si>
  <si>
    <t>Plot 338, Airport Road, DHA Phase 8, Lahore, 54810</t>
  </si>
  <si>
    <t>03138530838</t>
  </si>
  <si>
    <t>03167718887</t>
  </si>
  <si>
    <t>PKR 2,500-5,100 per person</t>
  </si>
  <si>
    <t>Premium one-dish per-person estimate: chicken PKR 2,500, beef PKR 3,350 and mutton PKR 5,100. Includes climate-controlled seating, standard stage and décor coordination, bridal room, backup generator, managed parking. Rates are realistic training estimates, not confirmed quotes, and may vary by menu, date, guest count, décor scope, taxes and service charges.</t>
  </si>
  <si>
    <t>227</t>
  </si>
  <si>
    <t>Noreen Event &amp; Banquet Halls</t>
  </si>
  <si>
    <t>Noreen Event &amp; Banquet Halls is a premium club / garrison venue in Cantt, Lahore, with an estimated seated capacity of 550 guests. The venue profile includes 1 banquet hall, air-conditioning, bridal support, event staff and generator-backed operations for weddings, receptions, walima and corporate gatherings.</t>
  </si>
  <si>
    <t>03000981992</t>
  </si>
  <si>
    <t>04238834862</t>
  </si>
  <si>
    <t>PKR 2,300-3,700 per person</t>
  </si>
  <si>
    <t>Premium one-dish per-person estimate: chicken PKR 2,300, beef PKR 2,750 and mutton PKR 3,700. Includes climate-controlled seating, standard stage and décor coordination, bridal room, backup generator, managed parking. Rates are realistic training estimates, not confirmed quotes, and may vary by menu, date, guest count, décor scope, taxes and service charges.</t>
  </si>
  <si>
    <t>228</t>
  </si>
  <si>
    <t>Mehmaan Khana Marriage Hall</t>
  </si>
  <si>
    <t>Mehmaan Khana Marriage Hall is a standard banquet hall in Township, Lahore, with an estimated seated capacity of 525 guests. The venue profile includes 1 banquet hall, air-conditioning, bridal support, event staff and generator-backed operations for weddings, receptions, walima and corporate gatherings.</t>
  </si>
  <si>
    <t>598 Shah Jilani Road, Township, Lahore, 54770</t>
  </si>
  <si>
    <t>03231659617</t>
  </si>
  <si>
    <t>03331501915</t>
  </si>
  <si>
    <t>Standard one-dish per-person estimate: chicken PKR 1,750, beef PKR 2,400 and mutton PKR 3,600. Includes climate-controlled seating, standard stage and décor coordination, bridal room, backup generator, managed parking. Rates are realistic training estimates, not confirmed quotes, and may vary by menu, date, guest count, décor scope, taxes and service charges.</t>
  </si>
  <si>
    <t>229</t>
  </si>
  <si>
    <t>Zareen Mehal Marriage Hall</t>
  </si>
  <si>
    <t>Zareen Mehal Marriage Hall is a standard banquet hall in Model Town, Lahore, with an estimated seated capacity of 375 guests. The venue profile includes 1 banquet hall, air-conditioning, bridal support, event staff and generator-backed operations for weddings, receptions, walima and corporate gatherings.</t>
  </si>
  <si>
    <t>531 Lower Mall Road, Model Town Link, Lahore, 54000</t>
  </si>
  <si>
    <t>03009852763</t>
  </si>
  <si>
    <t>04235815836</t>
  </si>
  <si>
    <t>PKR 1,850-4,500 per person</t>
  </si>
  <si>
    <t>Standard one-dish per-person estimate: chicken PKR 1,850, beef PKR 2,500 and mutton PKR 4,500. Includes climate-controlled seating, standard stage and décor coordination, bridal room, backup generator. Rates are realistic training estimates, not confirmed quotes, and may vary by menu, date, guest count, décor scope, taxes and service charges.</t>
  </si>
  <si>
    <t>230</t>
  </si>
  <si>
    <t>The Ballroom Event Complex</t>
  </si>
  <si>
    <t>The Ballroom Event Complex is a premium multi-hall banquet in Garden Town, Lahore, with an estimated seated capacity of 600 guests. The venue profile includes 2 banquet halls, air-conditioning, bridal support, event staff and generator-backed operations for weddings, receptions, walima and corporate gatherings.</t>
  </si>
  <si>
    <t>470 Babar Block, Garden Town, Lahore, 54700</t>
  </si>
  <si>
    <t>03045556578</t>
  </si>
  <si>
    <t>03203492683</t>
  </si>
  <si>
    <t>PKR 2,300-5,350 per person</t>
  </si>
  <si>
    <t>Premium one-dish per-person estimate: chicken PKR 2,300, beef PKR 3,250 and mutton PKR 5,350. Includes climate-controlled seating, standard stage and décor coordination, bridal room, backup generator, managed parking. Rates are realistic training estimates, not confirmed quotes, and may vary by menu, date, guest count, décor scope, taxes and service charges.</t>
  </si>
  <si>
    <t>231</t>
  </si>
  <si>
    <t>Pearl Castle (Previously Faletti's Banquet)</t>
  </si>
  <si>
    <t>Pearl Castle (Previously Faletti's Banquet) is a premium marquee / lawn in Raiwind Road, Lahore, with an estimated seated capacity of 525 guests. The venue profile includes 1 banquet hall and an outdoor lawn/marquee option, air-conditioning, bridal support, event staff and generator-backed operations for weddings, receptions, walima and corporate gatherings.</t>
  </si>
  <si>
    <t>03014372055</t>
  </si>
  <si>
    <t>03013451241</t>
  </si>
  <si>
    <t>Premium one-dish per-person estimate: chicken PKR 2,300, beef PKR 2,750 and mutton PKR 4,250.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</si>
  <si>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232</t>
  </si>
  <si>
    <t>Mughal-e-Azam Banquet Complex - Branch 2</t>
  </si>
  <si>
    <t>Mughal-e-Azam Banquet Complex - Branch 2 is a standard multi-hall banquet in Sabzazar, Lahore, with an estimated seated capacity of 675 guests. The venue profile includes 2 banquet halls, air-conditioning, bridal support, event staff and generator-backed operations for weddings, receptions, walima and corporate gatherings.</t>
  </si>
  <si>
    <t>398 Main Boulevard, Sabzazar, Lahore, 54500</t>
  </si>
  <si>
    <t>03082452438</t>
  </si>
  <si>
    <t>03124878899</t>
  </si>
  <si>
    <t>PKR 1,850-4,600 per person</t>
  </si>
  <si>
    <t>Standard one-dish per-person estimate: chicken PKR 1,850, beef PKR 2,850 and mutton PKR 4,600. Includes climate-controlled seating, standard stage and décor coordination, bridal room, backup generator, managed parking. Rates are realistic training estimates, not confirmed quotes, and may vary by menu, date, guest count, décor scope, taxes and service charges.</t>
  </si>
  <si>
    <t>233</t>
  </si>
  <si>
    <t>Nizam Banquet Hall</t>
  </si>
  <si>
    <t>Nizam Banquet Hall is a standard banquet hall in Johar Town, Lahore, with an estimated seated capacity of 625 guests. The venue profile includes 1 banquet hall, air-conditioning, bridal support, event staff and generator-backed operations for weddings, receptions, walima and corporate gatherings.</t>
  </si>
  <si>
    <t>680 Maulana Shaukat Ali Road, Johar Town, Lahore, 54000</t>
  </si>
  <si>
    <t>03236135981</t>
  </si>
  <si>
    <t>03417611404</t>
  </si>
  <si>
    <t>PKR 1,950-4,600 per person</t>
  </si>
  <si>
    <t>Standard one-dish per-person estimate: chicken PKR 1,950, beef PKR 2,850 and mutton PKR 4,600. Includes climate-controlled seating, standard stage and décor coordination, bridal room, backup generator, managed parking. Rates are realistic training estimates, not confirmed quotes, and may vary by menu, date, guest count, décor scope, taxes and service charges.</t>
  </si>
  <si>
    <t>234</t>
  </si>
  <si>
    <t>Windsor | Garrison Hall No. 6</t>
  </si>
  <si>
    <t>Windsor | Garrison Hall No. 6 is a premium club / garrison venue in Cantt, Lahore, with an estimated seated capacity of 900 guests. The venue profile includes 2 banquet halls, air-conditioning, bridal support, event staff and generator-backed operations for weddings, receptions, walima and corporate gatherings.</t>
  </si>
  <si>
    <t>03021183041</t>
  </si>
  <si>
    <t>03021344072</t>
  </si>
  <si>
    <t>PKR 2,250-4,650 per person</t>
  </si>
  <si>
    <t>Premium one-dish per-person estimate: chicken PKR 2,250, beef PKR 3,050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</si>
  <si>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235</t>
  </si>
  <si>
    <t>Gulshan Banquet Hall</t>
  </si>
  <si>
    <t>Gulshan Banquet Hall is a standard banquet hall in Johar Town, Lahore, with an estimated seated capacity of 550 guests. The venue profile includes 1 banquet hall, air-conditioning, bridal support, event staff and generator-backed operations for weddings, receptions, walima and corporate gatherings.</t>
  </si>
  <si>
    <t>37 Maulana Shaukat Ali Road, Johar Town, Lahore, 54000</t>
  </si>
  <si>
    <t>03054839042</t>
  </si>
  <si>
    <t>04232597468</t>
  </si>
  <si>
    <t>Standard one-dish per-person estimate: chicken PKR 2,000, beef PKR 2,750 and mutton PKR 3,800. Includes climate-controlled seating, standard stage and décor coordination, bridal room, backup generator, managed parking. Rates are realistic training estimates, not confirmed quotes, and may vary by menu, date, guest count, décor scope, taxes and service charges.</t>
  </si>
  <si>
    <t>236</t>
  </si>
  <si>
    <t>Grand Pavilion Banquet Hall</t>
  </si>
  <si>
    <t>Grand Pavilion Banquet Hall is a premium multi-hall banquet in Johar Town, Lahore, with an estimated seated capacity of 625 guests. The venue profile includes 2 banquet halls, air-conditioning, bridal support, event staff and generator-backed operations for weddings, receptions, walima and corporate gatherings.</t>
  </si>
  <si>
    <t>661 Maulana Shaukat Ali Road, Johar Town, Lahore, 54000</t>
  </si>
  <si>
    <t>03238261745</t>
  </si>
  <si>
    <t>04238697578</t>
  </si>
  <si>
    <t>PKR 2,350-4,600 per person</t>
  </si>
  <si>
    <t>Premium one-dish per-person estimate: chicken PKR 2,350, beef PKR 3,100 and mutton PKR 4,600. Includes climate-controlled seating, standard stage and décor coordination, bridal room, backup generator, managed parking. Rates are realistic training estimates, not confirmed quotes, and may vary by menu, date, guest count, décor scope, taxes and service charges.</t>
  </si>
  <si>
    <t>237</t>
  </si>
  <si>
    <t>Zauj Banquet Hall</t>
  </si>
  <si>
    <t>Zauj Banquet Hall is a standard banquet hall in Sabzazar, Lahore, with an estimated seated capacity of 350 guests. The venue profile includes 1 banquet hall, air-conditioning, bridal support, event staff and generator-backed operations for weddings, receptions, walima and corporate gatherings.</t>
  </si>
  <si>
    <t>Civic Centre, Block F, Sabzazar, Lahore, 54000</t>
  </si>
  <si>
    <t>03214007016</t>
  </si>
  <si>
    <t>04238244602</t>
  </si>
  <si>
    <t>Standard one-dish per-person estimate: chicken PKR 1,650, beef PKR 2,200 and mutton PKR 3,250. Includes climate-controlled seating, standard stage and décor coordination, bridal room, backup generator. Rates are realistic training estimates, not confirmed quotes, and may vary by menu, date, guest count, décor scope, taxes and service charges.</t>
  </si>
  <si>
    <t>238</t>
  </si>
  <si>
    <t>Topaz Banquet Hall</t>
  </si>
  <si>
    <t>Topaz Banquet Hall is a budget banquet hall in Township, Lahore, with an estimated seated capacity of 525 guests. The venue profile includes 1 banquet hall, air-conditioning, bridal support, event staff and generator-backed operations for weddings, receptions, walima and corporate gatherings.</t>
  </si>
  <si>
    <t>Plot 468, Sector C-1, Township, Lahore, 54770</t>
  </si>
  <si>
    <t>03030085480</t>
  </si>
  <si>
    <t>04232841237</t>
  </si>
  <si>
    <t>PKR 1,500-3,900 per person</t>
  </si>
  <si>
    <t>Budget one-dish per-person estimate: chicken PKR 1,500, beef PKR 2,350 and mutton PKR 3,900. Includes climate-controlled seating, standard stage and décor coordination, bridal room, backup generator, managed parking. Rates are realistic training estimates, not confirmed quotes, and may vary by menu, date, guest count, décor scope, taxes and service charges.</t>
  </si>
  <si>
    <t>239</t>
  </si>
  <si>
    <t>Dream Banquet Hall</t>
  </si>
  <si>
    <t>Dream Banquet Hall is a standard banquet hall in Johar Town, Lahore, with an estimated seated capacity of 600 guests. The venue profile includes 1 banquet hall, air-conditioning, bridal support, event staff and generator-backed operations for weddings, receptions, walima and corporate gatherings.</t>
  </si>
  <si>
    <t>388 Maulana Shaukat Ali Road, Johar Town, Lahore, 54000</t>
  </si>
  <si>
    <t>03012836564</t>
  </si>
  <si>
    <t>03241402537</t>
  </si>
  <si>
    <t>PKR 1,800-4,800 per person</t>
  </si>
  <si>
    <t>Standard one-dish per-person estimate: chicken PKR 1,800, beef PKR 2,700 and mutton PKR 4,800. Includes climate-controlled seating, standard stage and décor coordination, bridal room, backup generator, managed parking. Rates are realistic training estimates, not confirmed quotes, and may vary by menu, date, guest count, décor scope, taxes and service charges.</t>
  </si>
  <si>
    <t>240</t>
  </si>
  <si>
    <t>Taj Mahal Banquet Hall</t>
  </si>
  <si>
    <t>Taj Mahal Banquet Hall is a standard marquee / lawn in Raiwind Road, Lahore, with an estimated seated capacity of 625 guests. The venue profile includes 1 banquet hall and an outdoor lawn/marquee option, air-conditioning, bridal support, event staff and generator-backed operations for weddings, receptions, walima and corporate gatherings.</t>
  </si>
  <si>
    <t>03096721762</t>
  </si>
  <si>
    <t>04234828893</t>
  </si>
  <si>
    <t>PKR 1,950-3,700 per person</t>
  </si>
  <si>
    <t>Standard one-dish per-person estimate: chicken PKR 1,950, beef PKR 2,700 and mutton PKR 3,700.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</si>
  <si>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241</t>
  </si>
  <si>
    <t>Al-Mahmood Banquet Hall</t>
  </si>
  <si>
    <t>Al-Mahmood Banquet Hall is a standard marquee / lawn in Raiwind Road, Lahore, with an estimated seated capacity of 400 guests. The venue profile includes 1 banquet hall and an outdoor lawn/marquee option, air-conditioning, bridal support, event staff and generator-backed operations for weddings, receptions, walima and corporate gatherings.</t>
  </si>
  <si>
    <t>03467780192</t>
  </si>
  <si>
    <t>03005594941</t>
  </si>
  <si>
    <t>PKR 2,100-4,100 per person</t>
  </si>
  <si>
    <t>Standard one-dish per-person estimate: chicken PKR 2,100, beef PKR 3,000 and mutton PKR 4,100. Includes climate-controlled seating, standard stage and décor coordination, lawn/marquee setup option, bridal room, backup generator. Rates are realistic training estimates, not confirmed quotes, and may vary by menu, date, guest count, décor scope, taxes and service charges.</t>
  </si>
  <si>
    <t>242</t>
  </si>
  <si>
    <t>Al-Hamra Banquet Hall</t>
  </si>
  <si>
    <t>Al-Hamra Banquet Hall is a standard banquet hall in Garden Town, Lahore, with an estimated seated capacity of 475 guests. The venue profile includes 1 banquet hall, air-conditioning, bridal support, event staff and generator-backed operations for weddings, receptions, walima and corporate gatherings.</t>
  </si>
  <si>
    <t>540 Babar Block, Garden Town, Lahore, 54700</t>
  </si>
  <si>
    <t>03005615098</t>
  </si>
  <si>
    <t>03009070088</t>
  </si>
  <si>
    <t>PKR 2,100-4,550 per person</t>
  </si>
  <si>
    <t>Standard one-dish per-person estimate: chicken PKR 2,100, beef PKR 3,050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</si>
  <si>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243</t>
  </si>
  <si>
    <t>Varioline Le Grand</t>
  </si>
  <si>
    <t>Varioline Le Grand is a standard banquet hall in Johar Town, Lahore, with an estimated seated capacity of 725 guests. The venue profile includes 1 banquet hall, air-conditioning, bridal support, event staff and generator-backed operations for weddings, receptions, walima and corporate gatherings.</t>
  </si>
  <si>
    <t>695 Maulana Shaukat Ali Road, Johar Town, Lahore, 54000</t>
  </si>
  <si>
    <t>03339814607</t>
  </si>
  <si>
    <t>03336707694</t>
  </si>
  <si>
    <t>PKR 1,950-3,900 per person</t>
  </si>
  <si>
    <t>Standard one-dish per-person estimate: chicken PKR 1,950, beef PKR 2,600 and mutton PKR 3,900. Includes climate-controlled seating, standard stage and décor coordination, bridal room, backup generator, managed parking. Rates are realistic training estimates, not confirmed quotes, and may vary by menu, date, guest count, décor scope, taxes and service charges.</t>
  </si>
  <si>
    <t>244</t>
  </si>
  <si>
    <t>Lord's Event Complex</t>
  </si>
  <si>
    <t>Lord's Event Complex is a premium multi-hall banquet in Johar Town, Lahore, with an estimated seated capacity of 1,025 guests. The venue profile includes 2 banquet halls, air-conditioning, bridal support, event staff and generator-backed operations for weddings, receptions, walima and corporate gatherings.</t>
  </si>
  <si>
    <t>03228489038</t>
  </si>
  <si>
    <t>03002578114</t>
  </si>
  <si>
    <t>PKR 2,400-4,100 per person</t>
  </si>
  <si>
    <t>Premium one-dish per-person estimate: chicken PKR 2,400, beef PKR 2,850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</si>
  <si>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large capacity, premium, multi-hall banquet, realistic package, per head pricing</t>
  </si>
  <si>
    <t>245</t>
  </si>
  <si>
    <t>Aman Banquet Hall</t>
  </si>
  <si>
    <t>Aman Banquet Hall is a standard banquet hall in Johar Town, Lahore, with an estimated seated capacity of 600 guests. The venue profile includes 1 banquet hall, air-conditioning, bridal support, event staff and generator-backed operations for weddings, receptions, walima and corporate gatherings.</t>
  </si>
  <si>
    <t>Plot 398, Block F, Phase 2 Johar Town, Lahore, 54000</t>
  </si>
  <si>
    <t>03455442927</t>
  </si>
  <si>
    <t>03032936287</t>
  </si>
  <si>
    <t>Standard one-dish per-person estimate: chicken PKR 1,800, beef PKR 2,750 and mutton PKR 3,900. Includes climate-controlled seating, standard stage and décor coordination, bridal room, backup generator, managed parking. Rates are realistic training estimates, not confirmed quotes, and may vary by menu, date, guest count, décor scope, taxes and service charges.</t>
  </si>
  <si>
    <t>246</t>
  </si>
  <si>
    <t>Moon Banquet Hall</t>
  </si>
  <si>
    <t>Moon Banquet Hall is a standard banquet hall in Johar Town, Lahore, with an estimated seated capacity of 325 guests. The venue profile includes 1 banquet hall, air-conditioning, bridal support, event staff and generator-backed operations for weddings, receptions, walima and corporate gatherings.</t>
  </si>
  <si>
    <t>Civic Centre, Block E, Johar Town, Lahore, 54770</t>
  </si>
  <si>
    <t>03038860690</t>
  </si>
  <si>
    <t>03055972532</t>
  </si>
  <si>
    <t>PKR 2,050-4,400 per person</t>
  </si>
  <si>
    <t>Standard one-dish per-person estimate: chicken PKR 2,050, beef PKR 2,600 and mutton PKR 4,400. Includes climate-controlled seating, standard stage and décor coordination, bridal room, backup generator. Rates are realistic training estimates, not confirmed quotes, and may vary by menu, date, guest count, décor scope, taxes and service charges.</t>
  </si>
  <si>
    <t>247</t>
  </si>
  <si>
    <t>Al Miraj Banquet Hall</t>
  </si>
  <si>
    <t>Al Miraj Banquet Hall is a budget banquet hall in Sabzazar, Lahore, with an estimated seated capacity of 500 guests. The venue profile includes 1 banquet hall, air-conditioning, bridal support, event staff and generator-backed operations for weddings, receptions, walima and corporate gatherings.</t>
  </si>
  <si>
    <t>61 Main Boulevard, Sabzazar, Lahore, 54500</t>
  </si>
  <si>
    <t>03236253173</t>
  </si>
  <si>
    <t>03233799999</t>
  </si>
  <si>
    <t>PKR 1,500-4,000 per person</t>
  </si>
  <si>
    <t>Budget one-dish per-person estimate: chicken PKR 1,500, beef PKR 2,050 and mutton PKR 4,000. Includes climate-controlled seating, standard stage and décor coordination, bridal room, backup generator, managed parking. Rates are realistic training estimates, not confirmed quotes, and may vary by menu, date, guest count, décor scope, taxes and service charges.</t>
  </si>
  <si>
    <t>248</t>
  </si>
  <si>
    <t>Galaxy Banquet Hall</t>
  </si>
  <si>
    <t>Galaxy Banquet Hall is a premium banquet hall in DHA Phase 8, Lahore, with an estimated seated capacity of 600 guests. The venue profile includes 1 banquet hall, air-conditioning, bridal support, event staff and generator-backed operations for weddings, receptions, walima and corporate gatherings.</t>
  </si>
  <si>
    <t>21 Park View Block, DHA Phase 8, Lahore, 54810</t>
  </si>
  <si>
    <t>03025883774</t>
  </si>
  <si>
    <t>03269184745</t>
  </si>
  <si>
    <t>PKR 2,350-4,750 per person</t>
  </si>
  <si>
    <t>Premium one-dish per-person estimate: chicken PKR 2,350, beef PKR 3,050 and mutton PKR 4,750. Includes climate-controlled seating, standard stage and décor coordination, bridal room, backup generator, managed parking. Rates are realistic training estimates, not confirmed quotes, and may vary by menu, date, guest count, décor scope, taxes and service charges.</t>
  </si>
  <si>
    <t>249</t>
  </si>
  <si>
    <t>Aiwan-e-Aroosi Banquet Hall</t>
  </si>
  <si>
    <t>Aiwan-e-Aroosi Banquet Hall is a budget banquet hall in Marghzar, Lahore, with an estimated seated capacity of 600 guests. The venue profile includes 1 banquet hall, air-conditioning, bridal support, event staff and generator-backed operations for weddings, receptions, walima and corporate gatherings.</t>
  </si>
  <si>
    <t>303 Main Road, Marghzar Colony, Lahore</t>
  </si>
  <si>
    <t>03106424491</t>
  </si>
  <si>
    <t>04236272980</t>
  </si>
  <si>
    <t>PKR 1,500-3,050 per person</t>
  </si>
  <si>
    <t>Budget one-dish per-person estimate: chicken PKR 1,500, beef PKR 1,950 and mutton PKR 3,050. Includes climate-controlled seating, standard stage and décor coordination, bridal room, backup generator, managed parking. Rates are realistic training estimates, not confirmed quotes, and may vary by menu, date, guest count, décor scope, taxes and service charges.</t>
  </si>
  <si>
    <t>250</t>
  </si>
  <si>
    <t>NURI Event Complex</t>
  </si>
  <si>
    <t>NURI Event Complex is a premium marquee / lawn in Raiwind Road, Lahore, with an estimated seated capacity of 825 guests. The venue profile includes 3 banquet halls and an outdoor lawn/marquee option, air-conditioning, bridal support, event staff and generator-backed operations for weddings, receptions, walima and corporate gatherings.</t>
  </si>
  <si>
    <t>03463166596</t>
  </si>
  <si>
    <t>03024392123</t>
  </si>
  <si>
    <t>Premium one-dish per-person estimate: chicken PKR 2,300, beef PKR 3,150 and mutton PKR 4,300.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</si>
  <si>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251</t>
  </si>
  <si>
    <t>Heaven Star Banquet Hall</t>
  </si>
  <si>
    <t>Heaven Star Banquet Hall is a premium marquee / lawn in Raiwind Road, Lahore, with an estimated seated capacity of 400 guests. The venue profile includes 1 banquet hall and an outdoor lawn/marquee option, air-conditioning, bridal support, event staff and generator-backed operations for weddings, receptions, walima and corporate gatherings.</t>
  </si>
  <si>
    <t>03044345181</t>
  </si>
  <si>
    <t>03324910127</t>
  </si>
  <si>
    <t>Premium one-dish per-person estimate: chicken PKR 2,250, beef PKR 2,750 and mutton PKR 4,800.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</si>
  <si>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252</t>
  </si>
  <si>
    <t>Topaz</t>
  </si>
  <si>
    <t>Topaz is a standard banquet hall in Township, Lahore, with an estimated seated capacity of 700 guests. The venue profile includes 1 banquet hall, air-conditioning, bridal support, event staff and generator-backed operations for weddings, receptions, walima and corporate gatherings.</t>
  </si>
  <si>
    <t>Plot 477, Sector C-1, Township, Lahore, 54770</t>
  </si>
  <si>
    <t>03334351295</t>
  </si>
  <si>
    <t>04233603738</t>
  </si>
  <si>
    <t>PKR 2,050-4,350 per person</t>
  </si>
  <si>
    <t>Standard one-dish per-person estimate: chicken PKR 2,050, beef PKR 2,900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</si>
  <si>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253</t>
  </si>
  <si>
    <t>Heaven Banquet Hall</t>
  </si>
  <si>
    <t>Heaven Banquet Hall is a standard banquet hall in Garden Town, Lahore, with an estimated seated capacity of 550 guests. The venue profile includes 1 banquet hall, air-conditioning, bridal support, event staff and generator-backed operations for weddings, receptions, walima and corporate gatherings.</t>
  </si>
  <si>
    <t>346 Main Boulevard, New Garden Town, Lahore, 54000</t>
  </si>
  <si>
    <t>03142003384</t>
  </si>
  <si>
    <t>03143843594</t>
  </si>
  <si>
    <t>PKR 2,000-4,100 per person</t>
  </si>
  <si>
    <t>Standard one-dish per-person estimate: chicken PKR 2,000, beef PKR 2,700 and mutton PKR 4,100. Includes climate-controlled seating, standard stage and décor coordination, bridal room, backup generator, managed parking. Rates are realistic training estimates, not confirmed quotes, and may vary by menu, date, guest count, décor scope, taxes and service charges.</t>
  </si>
  <si>
    <t>254</t>
  </si>
  <si>
    <t>Mian Banquet Hall</t>
  </si>
  <si>
    <t>Mian Banquet Hall is a standard banquet hall in Garden Town, Lahore, with an estimated seated capacity of 500 guests. The venue profile includes 1 banquet hall, air-conditioning, bridal support, event staff and generator-backed operations for weddings, receptions, walima and corporate gatherings.</t>
  </si>
  <si>
    <t>Plot 201, Aibak Block, Garden Town, Lahore, 54000</t>
  </si>
  <si>
    <t>03216611600</t>
  </si>
  <si>
    <t>03025645023</t>
  </si>
  <si>
    <t>PKR 1,800-3,500 per person</t>
  </si>
  <si>
    <t>Standard one-dish per-person estimate: chicken PKR 1,800, beef PKR 2,350 and mutton PKR 3,500. Includes climate-controlled seating, standard stage and décor coordination, bridal room, backup generator, managed parking. Rates are realistic training estimates, not confirmed quotes, and may vary by menu, date, guest count, décor scope, taxes and service charges.</t>
  </si>
  <si>
    <t>255</t>
  </si>
  <si>
    <t>Nagina Banquets - Branch 2</t>
  </si>
  <si>
    <t>Nagina Banquets - Branch 2 is a standard banquet hall in Marghzar, Lahore, with an estimated seated capacity of 375 guests. The venue profile includes 1 banquet hall, air-conditioning, bridal support, event staff and generator-backed operations for weddings, receptions, walima and corporate gatherings.</t>
  </si>
  <si>
    <t>Plot 588, Marghzar Road, Shadiwal, Lahore</t>
  </si>
  <si>
    <t>03219044103</t>
  </si>
  <si>
    <t>03002805832</t>
  </si>
  <si>
    <t>Standard one-dish per-person estimate: chicken PKR 1,700, beef PKR 2,250 and mutton PKR 4,150. Includes climate-controlled seating, standard stage and décor coordination, bridal room, backup generator. Rates are realistic training estimates, not confirmed quotes, and may vary by menu, date, guest count, décor scope, taxes and service charges.</t>
  </si>
  <si>
    <t>256</t>
  </si>
  <si>
    <t>PCSIR Banquet Hall</t>
  </si>
  <si>
    <t>PCSIR Banquet Hall is a standard club / garrison venue in Cantt, Lahore, with an estimated seated capacity of 525 guests. The venue profile includes 1 banquet hall, air-conditioning, bridal support, event staff and generator-backed operations for weddings, receptions, walima and corporate gatherings.</t>
  </si>
  <si>
    <t>431 Khursheed Alam Road, Cavalry Ground, Lahore, 54810</t>
  </si>
  <si>
    <t>03058677203</t>
  </si>
  <si>
    <t>03107027283</t>
  </si>
  <si>
    <t>PKR 2,050-4,650 per person</t>
  </si>
  <si>
    <t>Standard one-dish per-person estimate: chicken PKR 2,050, beef PKR 2,750 and mutton PKR 4,650. Includes climate-controlled seating, standard stage and décor coordination, bridal room, backup generator, managed parking. Rates are realistic training estimates, not confirmed quotes, and may vary by menu, date, guest count, décor scope, taxes and service charges.</t>
  </si>
  <si>
    <t>257</t>
  </si>
  <si>
    <t>RABAT banquet hall by Time &amp; Taste</t>
  </si>
  <si>
    <t>RABAT banquet hall by Time &amp; Taste is a standard banquet hall in Johar Town, Lahore, with an estimated seated capacity of 500 guests. The venue profile includes 1 banquet hall, air-conditioning, bridal support, event staff and generator-backed operations for weddings, receptions, walima and corporate gatherings.</t>
  </si>
  <si>
    <t>Civic Centre, Block H, Johar Town, Lahore, 54770</t>
  </si>
  <si>
    <t>03015327702</t>
  </si>
  <si>
    <t>03048891374</t>
  </si>
  <si>
    <t>PKR 1,650-3,900 per person</t>
  </si>
  <si>
    <t>Standard one-dish per-person estimate: chicken PKR 1,650, beef PKR 2,300 and mutton PKR 3,900. Includes climate-controlled seating, standard stage and décor coordination, bridal room, backup generator. Rates are realistic training estimates, not confirmed quotes, and may vary by menu, date, guest count, décor scope, taxes and service charges.</t>
  </si>
  <si>
    <t>258</t>
  </si>
  <si>
    <t>Castello</t>
  </si>
  <si>
    <t>Castello is a standard banquet hall in Garden Town, Lahore, with an estimated seated capacity of 525 guests. The venue profile includes 1 banquet hall, air-conditioning, bridal support, event staff and generator-backed operations for weddings, receptions, walima and corporate gatherings.</t>
  </si>
  <si>
    <t>318 Babar Block, Garden Town, Lahore, 54700</t>
  </si>
  <si>
    <t>03018464052</t>
  </si>
  <si>
    <t>03041030048</t>
  </si>
  <si>
    <t>Standard one-dish per-person estimate: chicken PKR 1,900, beef PKR 2,750 and mutton PKR 3,950. Includes climate-controlled seating, standard stage and décor coordination, bridal room, backup generator, managed parking. Rates are realistic training estimates, not confirmed quotes, and may vary by menu, date, guest count, décor scope, taxes and service charges.</t>
  </si>
  <si>
    <t>259</t>
  </si>
  <si>
    <t>Al-Quresh Banquet Hall</t>
  </si>
  <si>
    <t>Al-Quresh Banquet Hall is a standard banquet hall in Johar Town, Lahore, with an estimated seated capacity of 450 guests. The venue profile includes 1 banquet hall, air-conditioning, bridal support, event staff and generator-backed operations for weddings, receptions, walima and corporate gatherings.</t>
  </si>
  <si>
    <t>Civic Centre, Block B, Johar Town, Lahore, 54770</t>
  </si>
  <si>
    <t>03343260304</t>
  </si>
  <si>
    <t>04232766306</t>
  </si>
  <si>
    <t>PKR 1,750-3,200 per person</t>
  </si>
  <si>
    <t>Standard one-dish per-person estimate: chicken PKR 1,750, beef PKR 2,250 and mutton PKR 3,200. Includes climate-controlled seating, standard stage and décor coordination, bridal room, backup generator, managed parking. Rates are realistic training estimates, not confirmed quotes, and may vary by menu, date, guest count, décor scope, taxes and service charges.</t>
  </si>
  <si>
    <t>260</t>
  </si>
  <si>
    <t>Marina Palace Banquet Hall</t>
  </si>
  <si>
    <t>Marina Palace Banquet Hall is a premium banquet hall in DHA Phase 8, Lahore, with an estimated seated capacity of 475 guests. The venue profile includes 1 banquet hall, air-conditioning, bridal support, event staff and generator-backed operations for weddings, receptions, walima and corporate gatherings.</t>
  </si>
  <si>
    <t>03338583037</t>
  </si>
  <si>
    <t>03131038938</t>
  </si>
  <si>
    <t>PKR 2,750-5,500 per person</t>
  </si>
  <si>
    <t>Premium one-dish per-person estimate: chicken PKR 2,750, beef PKR 3,450 and mutton PKR 5,500. Includes climate-controlled seating, standard stage and décor coordination, bridal room, backup generator, managed parking. Rates are realistic training estimates, not confirmed quotes, and may vary by menu, date, guest count, décor scope, taxes and service charges.</t>
  </si>
  <si>
    <t>261</t>
  </si>
  <si>
    <t>Imperial Banquet &amp; conference hall</t>
  </si>
  <si>
    <t>Imperial Banquet &amp; conference hall is a premium banquet hall in Gulberg, Lahore, with an estimated seated capacity of 600 guests. The venue profile includes 1 banquet hall, air-conditioning, bridal support, event staff and generator-backed operations for weddings, receptions, walima and corporate gatherings.</t>
  </si>
  <si>
    <t>578 Kalma Chowk Road, Gulberg III, Lahore, 54000</t>
  </si>
  <si>
    <t>03333875098</t>
  </si>
  <si>
    <t>03333994386</t>
  </si>
  <si>
    <t>PKR 2,700-4,450 per person</t>
  </si>
  <si>
    <t>Premium one-dish per-person estimate: chicken PKR 2,700, beef PKR 3,200 and mutton PKR 4,450. Includes climate-controlled seating, standard stage and décor coordination, bridal room, backup generator, managed parking. Rates are realistic training estimates, not confirmed quotes, and may vary by menu, date, guest count, décor scope, taxes and service charges.</t>
  </si>
  <si>
    <t>262</t>
  </si>
  <si>
    <t>Subhan Banquet Hall</t>
  </si>
  <si>
    <t>Subhan Banquet Hall is a standard banquet hall in Gulberg, Lahore, with an estimated seated capacity of 575 guests. The venue profile includes 1 banquet hall, air-conditioning, bridal support, event staff and generator-backed operations for weddings, receptions, walima and corporate gatherings.</t>
  </si>
  <si>
    <t>356 Hali Road, Block E1, Gulberg III, Lahore, 54000</t>
  </si>
  <si>
    <t>03001121550</t>
  </si>
  <si>
    <t>04236055291</t>
  </si>
  <si>
    <t>PKR 1,950-4,350 per person</t>
  </si>
  <si>
    <t>Standard one-dish per-person estimate: chicken PKR 1,950, beef PKR 2,400 and mutton PKR 4,350. Includes climate-controlled seating, standard stage and décor coordination, bridal room, backup generator, managed parking. Rates are realistic training estimates, not confirmed quotes, and may vary by menu, date, guest count, décor scope, taxes and service charges.</t>
  </si>
  <si>
    <t>263</t>
  </si>
  <si>
    <t>Zaydan Banquet Hall - Branch 2</t>
  </si>
  <si>
    <t>Zaydan Banquet Hall - Branch 2 is a standard banquet hall in Sabzazar, Lahore, with an estimated seated capacity of 650 guests. The venue profile includes 1 banquet hall, air-conditioning, bridal support, event staff and generator-backed operations for weddings, receptions, walima and corporate gatherings.</t>
  </si>
  <si>
    <t>Civic Centre, Block D, Sabzazar, Lahore, 54000</t>
  </si>
  <si>
    <t>03332047454</t>
  </si>
  <si>
    <t>03075662637</t>
  </si>
  <si>
    <t>Standard one-dish per-person estimate: chicken PKR 1,750, beef PKR 2,700 and mutton PKR 3,850. Includes climate-controlled seating, standard stage and décor coordination, bridal room, backup generator, managed parking. Rates are realistic training estimates, not confirmed quotes, and may vary by menu, date, guest count, décor scope, taxes and service charges.</t>
  </si>
  <si>
    <t>264</t>
  </si>
  <si>
    <t>Grande Banquet Hall</t>
  </si>
  <si>
    <t>Grande Banquet Hall is a premium multi-hall banquet in Garden Town, Lahore, with an estimated seated capacity of 625 guests. The venue profile includes 2 banquet halls, air-conditioning, bridal support, event staff and generator-backed operations for weddings, receptions, walima and corporate gatherings.</t>
  </si>
  <si>
    <t>Plot 43, Aibak Block, Garden Town, Lahore, 54000</t>
  </si>
  <si>
    <t>03179550447</t>
  </si>
  <si>
    <t>04235936846</t>
  </si>
  <si>
    <t>PKR 2,400-4,200 per person</t>
  </si>
  <si>
    <t>Premium one-dish per-person estimate: chicken PKR 2,400, beef PKR 3,100 and mutton PKR 4,200.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</si>
  <si>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garden town, traditional, large capacity, premium, multi-hall banquet, realistic package, per head pricing</t>
  </si>
  <si>
    <t>265</t>
  </si>
  <si>
    <t>Grand Anmol Banquet Hall</t>
  </si>
  <si>
    <t>Grand Anmol Banquet Hall is a standard banquet hall in Johar Town, Lahore, with an estimated seated capacity of 625 guests. The venue profile includes 1 banquet hall, air-conditioning, bridal support, event staff and generator-backed operations for weddings, receptions, walima and corporate gatherings.</t>
  </si>
  <si>
    <t>Civic Centre, Block G, Johar Town, Lahore, 54770</t>
  </si>
  <si>
    <t>03131160411</t>
  </si>
  <si>
    <t>03345342248</t>
  </si>
  <si>
    <t>Standard one-dish per-person estimate: chicken PKR 2,150, beef PKR 2,600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</si>
  <si>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266</t>
  </si>
  <si>
    <t>Royal Fort Marquees</t>
  </si>
  <si>
    <t>Royal Fort Marquees is a premium marquee / lawn in Johar Town, Lahore, with an estimated seated capacity of 750 guests. The venue profile includes 1 banquet hall and an outdoor lawn/marquee option, air-conditioning, bridal support, event staff and generator-backed operations for weddings, receptions, walima and corporate gatherings.</t>
  </si>
  <si>
    <t>03022147726</t>
  </si>
  <si>
    <t>03145680991</t>
  </si>
  <si>
    <t>PKR 2,450-5,100 per person</t>
  </si>
  <si>
    <t>Premium one-dish per-person estimate: chicken PKR 2,450, beef PKR 3,150 and mutton PKR 5,100.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</si>
  <si>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267</t>
  </si>
  <si>
    <t>Qasr-e-Saeed Banquet Hall</t>
  </si>
  <si>
    <t>Qasr-e-Saeed Banquet Hall is a premium club / garrison venue in Cantt, Lahore, with an estimated seated capacity of 600 guests. The venue profile includes 1 banquet hall, air-conditioning, bridal support, event staff and generator-backed operations for weddings, receptions, walima and corporate gatherings.</t>
  </si>
  <si>
    <t>Hall No. 15, Garrison Golf &amp; Country Club, Saddar Town, Lahore, 54810</t>
  </si>
  <si>
    <t>03016386745</t>
  </si>
  <si>
    <t>04232961695</t>
  </si>
  <si>
    <t>PKR 2,500-4,050 per person</t>
  </si>
  <si>
    <t>Premium one-dish per-person estimate: chicken PKR 2,500, beef PKR 2,950 and mutton PKR 4,050. Includes climate-controlled seating, standard stage and décor coordination, bridal room, backup generator, managed parking. Rates are realistic training estimates, not confirmed quotes, and may vary by menu, date, guest count, décor scope, taxes and service charges.</t>
  </si>
  <si>
    <t>268</t>
  </si>
  <si>
    <t>Husnain banquet Hall</t>
  </si>
  <si>
    <t>Husnain banquet Hall is a budget banquet hall in Sabzazar, Lahore, with an estimated seated capacity of 325 guests. The venue profile includes 1 banquet hall, air-conditioning, bridal support, event staff and generator-backed operations for weddings, receptions, walima and corporate gatherings.</t>
  </si>
  <si>
    <t>Plot 302, Block K, Sabzazar Housing Scheme, Lahore, 54000</t>
  </si>
  <si>
    <t>03004416856</t>
  </si>
  <si>
    <t>03044206508</t>
  </si>
  <si>
    <t>PKR 1,450-3,800 per person</t>
  </si>
  <si>
    <t>Budget one-dish per-person estimate: chicken PKR 1,450, beef PKR 2,350 and mutton PKR 3,800. Includes climate-controlled seating, standard stage and décor coordination, bridal room, backup generator. Rates are realistic training estimates, not confirmed quotes, and may vary by menu, date, guest count, décor scope, taxes and service charges.</t>
  </si>
  <si>
    <t>269</t>
  </si>
  <si>
    <t>Prime Banquet Hall &amp; Marquee - Branch 2</t>
  </si>
  <si>
    <t>Prime Banquet Hall &amp; Marquee - Branch 2 is a premium club / garrison venue in Cantt, Lahore, with an estimated seated capacity of 1,050 guests. The venue profile includes 3 banquet halls and an outdoor lawn/marquee option, air-conditioning, bridal support, event staff and generator-backed operations for weddings, receptions, walima and corporate gatherings.</t>
  </si>
  <si>
    <t>03122101422</t>
  </si>
  <si>
    <t>03231756439</t>
  </si>
  <si>
    <t>PKR 2,450-4,100 per person</t>
  </si>
  <si>
    <t>Premium one-dish per-person estimate: chicken PKR 2,450, beef PKR 3,050 and mutton PKR 4,100. Includes climate-controlled seating, standard stage and décor coordination, lawn/marquee setup option, bridal room, backup generator, managed parking. Rates are realistic training estimates, not confirmed quotes, and may vary by menu, date, guest count, décor scope, taxes and service charges.</t>
  </si>
  <si>
    <t>270</t>
  </si>
  <si>
    <t>The Nishat Banquets</t>
  </si>
  <si>
    <t>The Nishat Banquets is a premium hotel banquet in Johar Town, Lahore, with an estimated seated capacity of 600 guests. The venue profile includes 1 banquet hall, air-conditioning, bridal support, event staff and generator-backed operations for weddings, receptions, walima and corporate gatherings.</t>
  </si>
  <si>
    <t>Plot 317, Block L, Phase 1 Johar Town, Lahore, 54000</t>
  </si>
  <si>
    <t>03046779816</t>
  </si>
  <si>
    <t>03171273776</t>
  </si>
  <si>
    <t>PKR 2,600-4,550 per person</t>
  </si>
  <si>
    <t>Premium one-dish per-person estimate: chicken PKR 2,600, beef PKR 3,250 and mutton PKR 4,550. Includes climate-controlled seating, standard stage and décor coordination, bridal room, backup generator, managed parking. Rates are realistic training estimates, not confirmed quotes, and may vary by menu, date, guest count, décor scope, taxes and service charges.</t>
  </si>
  <si>
    <t>lahore, wedding, shaadi, reception, walima, marriage hall, banquet hall, johar town, traditional, premium, hotel banquet, realistic package, per head pricing</t>
  </si>
  <si>
    <t>271</t>
  </si>
  <si>
    <t>All Seasons Wedding &amp; Banquet Halls</t>
  </si>
  <si>
    <t>All Seasons Wedding &amp; Banquet Halls is a premium club / garrison venue in Cantt, Lahore, with an estimated seated capacity of 600 guests. The venue profile includes 1 banquet hall, air-conditioning, bridal support, event staff and generator-backed operations for weddings, receptions, walima and corporate gatherings.</t>
  </si>
  <si>
    <t>639 Khursheed Alam Road, Cavalry Ground, Lahore, 54810</t>
  </si>
  <si>
    <t>03111862755</t>
  </si>
  <si>
    <t>03048437791</t>
  </si>
  <si>
    <t>Premium one-dish per-person estimate: chicken PKR 2,300, beef PKR 3,000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</si>
  <si>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272</t>
  </si>
  <si>
    <t>Marina Banquet Hall</t>
  </si>
  <si>
    <t>Marina Banquet Hall is a premium banquet hall in Johar Town, Lahore, with an estimated seated capacity of 500 guests. The venue profile includes 1 banquet hall, air-conditioning, bridal support, event staff and generator-backed operations for weddings, receptions, walima and corporate gatherings.</t>
  </si>
  <si>
    <t>295 Maulana Shaukat Ali Road, Johar Town, Lahore, 54000</t>
  </si>
  <si>
    <t>03343301146</t>
  </si>
  <si>
    <t>03040046390</t>
  </si>
  <si>
    <t>PKR 2,300-5,050 per person</t>
  </si>
  <si>
    <t>Premium one-dish per-person estimate: chicken PKR 2,300, beef PKR 3,250 and mutton PKR 5,050. Includes climate-controlled seating, standard stage and décor coordination, bridal room, backup generator, managed parking. Rates are realistic training estimates, not confirmed quotes, and may vary by menu, date, guest count, décor scope, taxes and service charges.</t>
  </si>
  <si>
    <t>273</t>
  </si>
  <si>
    <t>Naulakha Banquet Hall</t>
  </si>
  <si>
    <t>Naulakha Banquet Hall is a standard club / garrison venue in Cantt, Lahore, with an estimated seated capacity of 500 guests. The venue profile includes 1 banquet hall, air-conditioning, bridal support, event staff and generator-backed operations for weddings, receptions, walima and corporate gatherings.</t>
  </si>
  <si>
    <t>Hall No. 3, Garrison Golf &amp; Country Club, Saddar Town, Lahore, 54810</t>
  </si>
  <si>
    <t>03006601978</t>
  </si>
  <si>
    <t>03141868738</t>
  </si>
  <si>
    <t>Standard one-dish per-person estimate: chicken PKR 2,000, beef PKR 2,800 and mutton PKR 4,400. Includes climate-controlled seating, standard stage and décor coordination, bridal room, backup generator, managed parking. Rates are realistic training estimates, not confirmed quotes, and may vary by menu, date, guest count, décor scope, taxes and service charges.</t>
  </si>
  <si>
    <t>Metric</t>
  </si>
  <si>
    <t>Value</t>
  </si>
  <si>
    <t>Rows retained</t>
  </si>
  <si>
    <t>Columns retained</t>
  </si>
  <si>
    <t>Original columns retained</t>
  </si>
  <si>
    <t>Added relevant columns</t>
  </si>
  <si>
    <t>city, venue_type, menu_price_tier, weekday_discount_pct, weekday_chicken_price, weekend_chicken_price, peak_season_surcharge_pct, gst_rate_pct, service_charge_pct, advance_booking_pct, minimum_guests, estimated_bill_300_guests, rating, review_count, contact_verification_status, data_quality_note</t>
  </si>
  <si>
    <t>Rows with recalibrated food prices</t>
  </si>
  <si>
    <t>Placeholder-looking phone values corrected</t>
  </si>
  <si>
    <t>Capacity values adjusted</t>
  </si>
  <si>
    <t>Parking values adjusted</t>
  </si>
  <si>
    <t>Price ordering violations</t>
  </si>
  <si>
    <t>Chicken price min</t>
  </si>
  <si>
    <t>Chicken price max</t>
  </si>
  <si>
    <t>Chicken price average</t>
  </si>
  <si>
    <t>Beef price min</t>
  </si>
  <si>
    <t>Beef price max</t>
  </si>
  <si>
    <t>Beef price average</t>
  </si>
  <si>
    <t>Mutton price min</t>
  </si>
  <si>
    <t>Mutton price max</t>
  </si>
  <si>
    <t>Mutton price average</t>
  </si>
  <si>
    <t>Capacity min</t>
  </si>
  <si>
    <t>Capacity max</t>
  </si>
  <si>
    <t>Capacity average</t>
  </si>
  <si>
    <t>Parking min</t>
  </si>
  <si>
    <t>Parking max</t>
  </si>
  <si>
    <t>Parking average</t>
  </si>
  <si>
    <t>Generated on</t>
  </si>
  <si>
    <t>Important note</t>
  </si>
  <si>
    <t>Prices and phone fixes are realistic training estimates; verify with venues before operational use.</t>
  </si>
  <si>
    <t>Column</t>
  </si>
  <si>
    <t>Description</t>
  </si>
  <si>
    <t>Unique venue identifier retained from the source dataset.</t>
  </si>
  <si>
    <t>Venue or marriage hall name retained from the source dataset.</t>
  </si>
  <si>
    <t>Original venue category enhanced with pricing tier where applicable.</t>
  </si>
  <si>
    <t>Refreshed realistic venue description aligned with corrected capacity, type and facilities.</t>
  </si>
  <si>
    <t>Venue address retained from the source dataset.</t>
  </si>
  <si>
    <t>Lahore area/locality retained from the source dataset.</t>
  </si>
  <si>
    <t>Primary contact number; obvious placeholder-looking values were replaced with valid-format unverified numbers.</t>
  </si>
  <si>
    <t>Secondary contact number; obvious placeholder-looking values were replaced with valid-format unverified numbers.</t>
  </si>
  <si>
    <t>Realistic estimated chicken one-dish per-person price in PKR.</t>
  </si>
  <si>
    <t>Realistic estimated beef one-dish per-person price in PKR, ordered above chicken.</t>
  </si>
  <si>
    <t>Realistic estimated mutton one-dish per-person price in PKR, ordered above beef.</t>
  </si>
  <si>
    <t>Synthetic/cleaned social media profile links retained from the source dataset.</t>
  </si>
  <si>
    <t>Estimated maximum seated guest capacity adjusted to reduce repeated fake-looking values.</t>
  </si>
  <si>
    <t>Count of lawn or outdoor setup spaces retained from the source dataset.</t>
  </si>
  <si>
    <t>Count of indoor banquet halls retained from the source dataset.</t>
  </si>
  <si>
    <t>Whether air-conditioning is available.</t>
  </si>
  <si>
    <t>Estimated car parking capacity recalibrated from guest capacity and locality.</t>
  </si>
  <si>
    <t>Readable per-person package range from corrected chicken to mutton estimates.</t>
  </si>
  <si>
    <t>Refreshed package description aligned with corrected prices and facilities.</t>
  </si>
  <si>
    <t>Whether in-house decoration is available.</t>
  </si>
  <si>
    <t>Whether a bridal room is available.</t>
  </si>
  <si>
    <t>Whether backup generator support is available.</t>
  </si>
  <si>
    <t>Search/ML feature terms enhanced with area, tier and venue type.</t>
  </si>
  <si>
    <t>Date this cleaned/simulated record was regenerated.</t>
  </si>
  <si>
    <t>City label added for easier filtering and modeling.</t>
  </si>
  <si>
    <t>Inferred venue type: banquet hall, marquee/lawn, hotel banquet, club/garrison venue or multi-hall banquet.</t>
  </si>
  <si>
    <t>Budget, Standard, Premium or Luxury tier inferred from corrected chicken one-dish price.</t>
  </si>
  <si>
    <t>Estimated weekday discount percentage.</t>
  </si>
  <si>
    <t>Formula-driven weekday chicken package estimate after discount.</t>
  </si>
  <si>
    <t>Formula-driven weekend chicken package estimate equal to base chicken package.</t>
  </si>
  <si>
    <t>Estimated additional surcharge during peak wedding season.</t>
  </si>
  <si>
    <t>Estimated GST/tax assumption percentage used for bill modeling.</t>
  </si>
  <si>
    <t>Estimated service charge percentage used for bill modeling.</t>
  </si>
  <si>
    <t>Estimated booking advance percentage.</t>
  </si>
  <si>
    <t>Estimated minimum guest count for booking.</t>
  </si>
  <si>
    <t>Formula-driven estimated bill for 300 guests using chicken package, GST and service charge.</t>
  </si>
  <si>
    <t>Synthetic realistic rating for training/demo analysis.</t>
  </si>
  <si>
    <t>Synthetic realistic review count for training/demo analysis.</t>
  </si>
  <si>
    <t>Whether original contact format was retained or placeholder-looking value was cleaned.</t>
  </si>
  <si>
    <t>Row-level note clarifying that venue identity is retained while selected numeric fields are recalibrated.</t>
  </si>
  <si>
    <t>Change Area</t>
  </si>
  <si>
    <t>Action Taken</t>
  </si>
  <si>
    <t>Count / Notes</t>
  </si>
  <si>
    <t>Food prices</t>
  </si>
  <si>
    <t>Recalibrated chicken, beef and mutton per-person one-dish prices.</t>
  </si>
  <si>
    <t>Price ranges</t>
  </si>
  <si>
    <t>Regenerated readable price_range values from corrected price columns.</t>
  </si>
  <si>
    <t>Package text</t>
  </si>
  <si>
    <t>Regenerated package_details to match prices, facilities and caveat text.</t>
  </si>
  <si>
    <t>Descriptions</t>
  </si>
  <si>
    <t>Refreshed descriptions using corrected capacity, area, venue type and facilities.</t>
  </si>
  <si>
    <t>Phone numbers</t>
  </si>
  <si>
    <t>Replaced only obvious placeholder-looking values; added contact_verification_status.</t>
  </si>
  <si>
    <t>Capacity</t>
  </si>
  <si>
    <t>Adjusted repetitive max-capacity values with deterministic realistic variation.</t>
  </si>
  <si>
    <t>Parking</t>
  </si>
  <si>
    <t>Recalibrated parking based on adjusted guest capacity and locality.</t>
  </si>
  <si>
    <t>New columns</t>
  </si>
  <si>
    <t>Added city, venue type, menu tier, discount/surcharge/tax/service/advance/minimum guest/rating/review/contact quality fields.</t>
  </si>
  <si>
    <t>Formulas</t>
  </si>
  <si>
    <t>Added formula-driven weekday_chicken_price, weekend_chicken_price and estimated_bill_300_guests.</t>
  </si>
  <si>
    <t>AC, AD, 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</si>
</sst>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yyyy\-mm\-dd"/>
  </numFmts>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8">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3" fontId="1" fillId="2" borderId="0" xfId="0" applyNumberFormat="1" applyFont="1" applyFill="1" applyBorder="1" applyAlignment="1">
      <alignment horizontal="center" vertical="top" wrapText="1"/>
    </xf>
    <xf numFmtId="164" fontId="1" fillId="2" borderId="0" xfId="0" applyNumberFormat="1" applyFont="1" applyFill="1" applyBorder="1" applyAlignment="1">
      <alignment horizontal="center" vertical="top" wrapText="1"/>
    </xf>
    <xf numFmtId="165" fontId="1" fillId="2" borderId="0"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RealisticVenuesTable" displayName="RealisticVenuesTable" ref="A1:AM274">
  <tableColumns count="39">
    <tableColumn id="1" name="hall_id"/>
    <tableColumn id="2" name="hall_name"/>
    <tableColumn id="3" name="category"/>
    <tableColumn id="4" name="description"/>
    <tableColumn id="5" name="full_address"/>
    <tableColumn id="6" name="area"/>
    <tableColumn id="7" name="phone_1"/>
    <tableColumn id="8" name="phone_2"/>
    <tableColumn id="9" name="one_dish_chicken"/>
    <tableColumn id="10" name="one_dish_beef"/>
    <tableColumn id="11" name="one_dish_mutton"/>
    <tableColumn id="13" name="capacity_sitting"/>
    <tableColumn id="14" name="number_of_lawns"/>
    <tableColumn id="15" name="number_of_banquet_halls"/>
    <tableColumn id="16" name="is_air_conditioned"/>
    <tableColumn id="17" name="parking_capacity"/>
    <tableColumn id="18" name="price_range"/>
    <tableColumn id="19" name="package_details"/>
    <tableColumn id="20" name="decoration_in_house"/>
    <tableColumn id="21" name="bridal_room"/>
    <tableColumn id="22" name="generator_backup"/>
    <tableColumn id="23" name="keywords"/>
    <tableColumn id="24" name="last_verified"/>
    <tableColumn id="25" name="city"/>
    <tableColumn id="26" name="venue_type"/>
    <tableColumn id="27" name="menu_price_tier"/>
    <tableColumn id="28" name="weekday_discount_pct"/>
    <tableColumn id="29" name="weekday_chicken_price"/>
    <tableColumn id="30" name="weekend_chicken_price"/>
    <tableColumn id="31" name="peak_season_surcharge_pct"/>
    <tableColumn id="32" name="gst_rate_pct"/>
    <tableColumn id="33" name="service_charge_pct"/>
    <tableColumn id="34" name="advance_booking_pct"/>
    <tableColumn id="35" name="minimum_guests"/>
    <tableColumn id="36" name="estimated_bill_300_guests"/>
    <tableColumn id="37" name="rating"/>
    <tableColumn id="38" name="review_count"/>
    <tableColumn id="39" name="contact_verification_status"/>
    <tableColumn id="40" name="data_quality_note"/>
  </tableColumns>
  <tableStyleInfo name="TableStyleMedium2" showFirstColumn="0" showLastColumn="0" showRowStripes="1" showColumnStripes="0"/>
</table>
</file>

<file path=xl/tables/table2.xml><?xml version="1.0" encoding="utf-8"?>
<table xmlns="http://schemas.openxmlformats.org/spreadsheetml/2006/main" id="2" name="QualityReportTable" displayName="QualityReportTable" ref="A1:B27">
  <tableColumns count="2">
    <tableColumn id="1" name="Metric"/>
    <tableColumn id="2" name="Value"/>
  </tableColumns>
  <tableStyleInfo name="TableStyleMedium2" showFirstColumn="0" showLastColumn="0" showRowStripes="1" showColumnStripes="0"/>
</table>
</file>

<file path=xl/tables/table3.xml><?xml version="1.0" encoding="utf-8"?>
<table xmlns="http://schemas.openxmlformats.org/spreadsheetml/2006/main" id="3" name="DataDictionaryTable" displayName="DataDictionaryTable" ref="A1:B41">
  <tableColumns count="2">
    <tableColumn id="1" name="Column"/>
    <tableColumn id="2" name="Description"/>
  </tableColumns>
  <tableStyleInfo name="TableStyleMedium2" showFirstColumn="0" showLastColumn="0" showRowStripes="1" showColumnStripes="0"/>
</table>
</file>

<file path=xl/tables/table4.xml><?xml version="1.0" encoding="utf-8"?>
<table xmlns="http://schemas.openxmlformats.org/spreadsheetml/2006/main" id="5" name="ChangeLogTable" displayName="ChangeLogTable" ref="A1:C10">
  <tableColumns count="3">
    <tableColumn id="1" name="Change Area"/>
    <tableColumn id="2" name="Action Taken"/>
    <tableColumn id="3" name="Count /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74"/>
  <sheetViews>
    <sheetView tabSelected="1" zoomScale="141" zoomScaleNormal="100" workbookViewId="0">
      <selection activeCell="L1" sqref="L1"/>
    </sheetView>
  </sheetViews>
  <sheetFormatPr defaultRowHeight="14.25"/>
  <cols>
    <col min="1" max="1" width="9" customWidth="1"/>
    <col min="2" max="2" width="28" customWidth="1"/>
    <col min="3" max="3" width="22" customWidth="1"/>
    <col min="4" max="4" width="48" customWidth="1"/>
    <col min="5" max="5" width="44" customWidth="1"/>
    <col min="6" max="6" width="24" customWidth="1"/>
    <col min="7" max="8" width="16" customWidth="1"/>
    <col min="9" max="11" width="14" customWidth="1"/>
    <col min="12" max="12" width="42" customWidth="1"/>
    <col min="13" max="13" width="14" customWidth="1"/>
    <col min="14" max="14" width="13" customWidth="1"/>
    <col min="15" max="15" width="18" customWidth="1"/>
    <col min="16" max="16" width="16" customWidth="1"/>
    <col min="17" max="17" width="15" customWidth="1"/>
    <col min="18" max="18" width="23" customWidth="1"/>
    <col min="19" max="19" width="54" customWidth="1"/>
    <col min="20" max="20" width="16" customWidth="1"/>
    <col min="21" max="21" width="13" customWidth="1"/>
    <col min="22" max="22" width="16" customWidth="1"/>
    <col min="23" max="23" width="38" customWidth="1"/>
    <col min="24" max="24" width="14" customWidth="1"/>
    <col min="25" max="25" width="12" customWidth="1"/>
    <col min="26" max="26" width="22" customWidth="1"/>
    <col min="27" max="27" width="16" customWidth="1"/>
    <col min="28" max="28" width="18" customWidth="1"/>
    <col min="29" max="30" width="20" customWidth="1"/>
    <col min="31" max="31" width="22" customWidth="1"/>
    <col min="32" max="32" width="12" customWidth="1"/>
    <col min="33" max="33" width="18" customWidth="1"/>
    <col min="34" max="34" width="20" customWidth="1"/>
    <col min="35" max="35" width="16" customWidth="1"/>
    <col min="36" max="36" width="24" customWidth="1"/>
    <col min="37" max="37" width="10" customWidth="1"/>
    <col min="38" max="38" width="12" customWidth="1"/>
    <col min="39" max="39" width="28" customWidth="1"/>
    <col min="40" max="40" width="48" customWidth="1"/>
  </cols>
  <sheetData>
    <row r="1" spans="1:39" ht="45">
      <c r="A1" s="3" t="s">
        <v>0</v>
      </c>
      <c r="B1" s="3" t="s">
        <v>1</v>
      </c>
      <c r="C1" s="3" t="s">
        <v>2</v>
      </c>
      <c r="D1" s="3" t="s">
        <v>3</v>
      </c>
      <c r="E1" s="3" t="s">
        <v>4</v>
      </c>
      <c r="F1" s="3" t="s">
        <v>5</v>
      </c>
      <c r="G1" s="3" t="s">
        <v>6</v>
      </c>
      <c r="H1" s="3" t="s">
        <v>7</v>
      </c>
      <c r="I1" s="5" t="s">
        <v>8</v>
      </c>
      <c r="J1" s="5" t="s">
        <v>9</v>
      </c>
      <c r="K1" s="5" t="s">
        <v>10</v>
      </c>
      <c r="L1" s="5" t="s">
        <v>12</v>
      </c>
      <c r="M1" s="5" t="s">
        <v>13</v>
      </c>
      <c r="N1" s="5" t="s">
        <v>14</v>
      </c>
      <c r="O1" s="3" t="s">
        <v>15</v>
      </c>
      <c r="P1" s="5" t="s">
        <v>16</v>
      </c>
      <c r="Q1" s="3" t="s">
        <v>17</v>
      </c>
      <c r="R1" s="3" t="s">
        <v>18</v>
      </c>
      <c r="S1" s="3" t="s">
        <v>19</v>
      </c>
      <c r="T1" s="3" t="s">
        <v>20</v>
      </c>
      <c r="U1" s="3" t="s">
        <v>21</v>
      </c>
      <c r="V1" s="3" t="s">
        <v>22</v>
      </c>
      <c r="W1" s="7" t="s">
        <v>23</v>
      </c>
      <c r="X1" s="3" t="s">
        <v>24</v>
      </c>
      <c r="Y1" s="3" t="s">
        <v>25</v>
      </c>
      <c r="Z1" s="3" t="s">
        <v>26</v>
      </c>
      <c r="AA1" s="5" t="s">
        <v>27</v>
      </c>
      <c r="AB1" s="5" t="s">
        <v>28</v>
      </c>
      <c r="AC1" s="5" t="s">
        <v>29</v>
      </c>
      <c r="AD1" s="5" t="s">
        <v>30</v>
      </c>
      <c r="AE1" s="5" t="s">
        <v>31</v>
      </c>
      <c r="AF1" s="5" t="s">
        <v>32</v>
      </c>
      <c r="AG1" s="5" t="s">
        <v>33</v>
      </c>
      <c r="AH1" s="5" t="s">
        <v>34</v>
      </c>
      <c r="AI1" s="5" t="s">
        <v>35</v>
      </c>
      <c r="AJ1" s="6" t="s">
        <v>36</v>
      </c>
      <c r="AK1" s="5" t="s">
        <v>37</v>
      </c>
      <c r="AL1" s="3" t="s">
        <v>38</v>
      </c>
      <c r="AM1" s="3" t="s">
        <v>39</v>
      </c>
    </row>
    <row r="2" spans="1:39" ht="228">
      <c r="A2" s="4" t="s">
        <v>40</v>
      </c>
      <c r="B2" s="4" t="s">
        <v>41</v>
      </c>
      <c r="C2" s="4" t="s">
        <v>42</v>
      </c>
      <c r="D2" s="4" t="s">
        <v>43</v>
      </c>
      <c r="E2" s="4" t="s">
        <v>44</v>
      </c>
      <c r="F2" s="4" t="s">
        <v>45</v>
      </c>
      <c r="G2" s="4" t="s">
        <v>46</v>
      </c>
      <c r="H2" s="4" t="s">
        <v>47</v>
      </c>
      <c r="I2" s="4">
        <v>2200</v>
      </c>
      <c r="J2" s="4">
        <v>3050</v>
      </c>
      <c r="K2" s="4">
        <v>4550</v>
      </c>
      <c r="L2" s="4">
        <v>650</v>
      </c>
      <c r="M2" s="4" t="s">
        <v>48</v>
      </c>
      <c r="N2" s="4" t="s">
        <v>49</v>
      </c>
      <c r="O2" s="4" t="s">
        <v>50</v>
      </c>
      <c r="P2" s="4">
        <v>125</v>
      </c>
      <c r="Q2" s="4" t="s">
        <v>51</v>
      </c>
      <c r="R2" s="4" t="s">
        <v>52</v>
      </c>
      <c r="S2" s="4" t="s">
        <v>50</v>
      </c>
      <c r="T2" s="4" t="s">
        <v>50</v>
      </c>
      <c r="U2" s="4" t="s">
        <v>50</v>
      </c>
      <c r="V2" s="4" t="s">
        <v>53</v>
      </c>
      <c r="W2" s="4" t="s">
        <v>54</v>
      </c>
      <c r="X2" s="4" t="s">
        <v>55</v>
      </c>
      <c r="Y2" s="4" t="s">
        <v>56</v>
      </c>
      <c r="Z2" s="4" t="s">
        <v>57</v>
      </c>
      <c r="AA2" s="4">
        <v>6</v>
      </c>
      <c r="AB2" s="4">
        <f>ROUND(I2*(1-AA2/100),-1)</f>
        <v>2070</v>
      </c>
      <c r="AC2" s="4">
        <f t="shared" ref="AC2:AC65" si="0">I2</f>
        <v>2200</v>
      </c>
      <c r="AD2" s="4">
        <v>21</v>
      </c>
      <c r="AE2" s="4">
        <v>15</v>
      </c>
      <c r="AF2" s="4">
        <v>10</v>
      </c>
      <c r="AG2" s="4">
        <v>43</v>
      </c>
      <c r="AH2" s="4">
        <v>225</v>
      </c>
      <c r="AI2" s="4">
        <f>ROUND(300*I2*(1+AE2/100+AF2/100),0)</f>
        <v>825000</v>
      </c>
      <c r="AJ2" s="4">
        <v>4.5999999999999996</v>
      </c>
      <c r="AK2" s="4">
        <v>732</v>
      </c>
      <c r="AL2" s="4" t="s">
        <v>58</v>
      </c>
      <c r="AM2" s="4" t="s">
        <v>59</v>
      </c>
    </row>
    <row r="3" spans="1:39" ht="213.75">
      <c r="A3" s="4" t="s">
        <v>60</v>
      </c>
      <c r="B3" s="4" t="s">
        <v>61</v>
      </c>
      <c r="C3" s="4" t="s">
        <v>62</v>
      </c>
      <c r="D3" s="4" t="s">
        <v>63</v>
      </c>
      <c r="E3" s="4" t="s">
        <v>64</v>
      </c>
      <c r="F3" s="4" t="s">
        <v>65</v>
      </c>
      <c r="G3" s="4" t="s">
        <v>46</v>
      </c>
      <c r="H3" s="4" t="s">
        <v>47</v>
      </c>
      <c r="I3" s="4">
        <v>1800</v>
      </c>
      <c r="J3" s="4">
        <v>2550</v>
      </c>
      <c r="K3" s="4">
        <v>3800</v>
      </c>
      <c r="L3" s="4">
        <v>275</v>
      </c>
      <c r="M3" s="4" t="s">
        <v>48</v>
      </c>
      <c r="N3" s="4" t="s">
        <v>40</v>
      </c>
      <c r="O3" s="4" t="s">
        <v>50</v>
      </c>
      <c r="P3" s="4">
        <v>60</v>
      </c>
      <c r="Q3" s="4" t="s">
        <v>66</v>
      </c>
      <c r="R3" s="4" t="s">
        <v>67</v>
      </c>
      <c r="S3" s="4" t="s">
        <v>50</v>
      </c>
      <c r="T3" s="4" t="s">
        <v>50</v>
      </c>
      <c r="U3" s="4" t="s">
        <v>50</v>
      </c>
      <c r="V3" s="4" t="s">
        <v>68</v>
      </c>
      <c r="W3" s="4" t="s">
        <v>54</v>
      </c>
      <c r="X3" s="4" t="s">
        <v>55</v>
      </c>
      <c r="Y3" s="4" t="s">
        <v>69</v>
      </c>
      <c r="Z3" s="4" t="s">
        <v>70</v>
      </c>
      <c r="AA3" s="4">
        <v>10</v>
      </c>
      <c r="AB3" s="4">
        <f>ROUND(I3*(1-AA3/100),-1)</f>
        <v>1620</v>
      </c>
      <c r="AC3" s="4">
        <f t="shared" si="0"/>
        <v>1800</v>
      </c>
      <c r="AD3" s="4">
        <v>17</v>
      </c>
      <c r="AE3" s="4">
        <v>15</v>
      </c>
      <c r="AF3" s="4">
        <v>5</v>
      </c>
      <c r="AG3" s="4">
        <v>32</v>
      </c>
      <c r="AH3" s="4">
        <v>100</v>
      </c>
      <c r="AI3" s="4">
        <f>ROUND(300*I3*(1+AE3/100+AF3/100),0)</f>
        <v>648000</v>
      </c>
      <c r="AJ3" s="4">
        <v>4.5999999999999996</v>
      </c>
      <c r="AK3" s="4">
        <v>432</v>
      </c>
      <c r="AL3" s="4" t="s">
        <v>58</v>
      </c>
      <c r="AM3" s="4" t="s">
        <v>59</v>
      </c>
    </row>
    <row r="4" spans="1:39" ht="256.5">
      <c r="A4" s="4" t="s">
        <v>49</v>
      </c>
      <c r="B4" s="4" t="s">
        <v>71</v>
      </c>
      <c r="C4" s="4" t="s">
        <v>72</v>
      </c>
      <c r="D4" s="4" t="s">
        <v>73</v>
      </c>
      <c r="E4" s="4" t="s">
        <v>74</v>
      </c>
      <c r="F4" s="4" t="s">
        <v>75</v>
      </c>
      <c r="G4" s="4" t="s">
        <v>76</v>
      </c>
      <c r="H4" s="4" t="s">
        <v>77</v>
      </c>
      <c r="I4" s="4">
        <v>2650</v>
      </c>
      <c r="J4" s="4">
        <v>3400</v>
      </c>
      <c r="K4" s="4">
        <v>4800</v>
      </c>
      <c r="L4" s="4">
        <v>500</v>
      </c>
      <c r="M4" s="4" t="s">
        <v>40</v>
      </c>
      <c r="N4" s="4" t="s">
        <v>40</v>
      </c>
      <c r="O4" s="4" t="s">
        <v>50</v>
      </c>
      <c r="P4" s="4">
        <v>100</v>
      </c>
      <c r="Q4" s="4" t="s">
        <v>78</v>
      </c>
      <c r="R4" s="4" t="s">
        <v>79</v>
      </c>
      <c r="S4" s="4" t="s">
        <v>50</v>
      </c>
      <c r="T4" s="4" t="s">
        <v>50</v>
      </c>
      <c r="U4" s="4" t="s">
        <v>50</v>
      </c>
      <c r="V4" s="4" t="s">
        <v>80</v>
      </c>
      <c r="W4" s="4" t="s">
        <v>54</v>
      </c>
      <c r="X4" s="4" t="s">
        <v>55</v>
      </c>
      <c r="Y4" s="4" t="s">
        <v>81</v>
      </c>
      <c r="Z4" s="4" t="s">
        <v>57</v>
      </c>
      <c r="AA4" s="4">
        <v>8</v>
      </c>
      <c r="AB4" s="4">
        <f>ROUND(I4*(1-AA4/100),-1)</f>
        <v>2440</v>
      </c>
      <c r="AC4" s="4">
        <f t="shared" si="0"/>
        <v>2650</v>
      </c>
      <c r="AD4" s="4">
        <v>11</v>
      </c>
      <c r="AE4" s="4">
        <v>15</v>
      </c>
      <c r="AF4" s="4">
        <v>7</v>
      </c>
      <c r="AG4" s="4">
        <v>37</v>
      </c>
      <c r="AH4" s="4">
        <v>200</v>
      </c>
      <c r="AI4" s="4">
        <f>ROUND(300*I4*(1+AE4/100+AF4/100),0)</f>
        <v>969900</v>
      </c>
      <c r="AJ4" s="4">
        <v>4</v>
      </c>
      <c r="AK4" s="4">
        <v>490</v>
      </c>
      <c r="AL4" s="4" t="s">
        <v>58</v>
      </c>
      <c r="AM4" s="4" t="s">
        <v>59</v>
      </c>
    </row>
    <row r="5" spans="1:39" ht="256.5">
      <c r="A5" s="4" t="s">
        <v>82</v>
      </c>
      <c r="B5" s="4" t="s">
        <v>83</v>
      </c>
      <c r="C5" s="4" t="s">
        <v>72</v>
      </c>
      <c r="D5" s="4" t="s">
        <v>84</v>
      </c>
      <c r="E5" s="4" t="s">
        <v>85</v>
      </c>
      <c r="F5" s="4" t="s">
        <v>86</v>
      </c>
      <c r="G5" s="4" t="s">
        <v>87</v>
      </c>
      <c r="H5" s="4" t="s">
        <v>88</v>
      </c>
      <c r="I5" s="4">
        <v>2300</v>
      </c>
      <c r="J5" s="4">
        <v>3100</v>
      </c>
      <c r="K5" s="4">
        <v>5000</v>
      </c>
      <c r="L5" s="4">
        <v>675</v>
      </c>
      <c r="M5" s="4" t="s">
        <v>40</v>
      </c>
      <c r="N5" s="4" t="s">
        <v>60</v>
      </c>
      <c r="O5" s="4" t="s">
        <v>50</v>
      </c>
      <c r="P5" s="4">
        <v>170</v>
      </c>
      <c r="Q5" s="4" t="s">
        <v>89</v>
      </c>
      <c r="R5" s="4" t="s">
        <v>90</v>
      </c>
      <c r="S5" s="4" t="s">
        <v>50</v>
      </c>
      <c r="T5" s="4" t="s">
        <v>50</v>
      </c>
      <c r="U5" s="4" t="s">
        <v>50</v>
      </c>
      <c r="V5" s="4" t="s">
        <v>91</v>
      </c>
      <c r="W5" s="4" t="s">
        <v>54</v>
      </c>
      <c r="X5" s="4" t="s">
        <v>55</v>
      </c>
      <c r="Y5" s="4" t="s">
        <v>81</v>
      </c>
      <c r="Z5" s="4" t="s">
        <v>57</v>
      </c>
      <c r="AA5" s="4">
        <v>11</v>
      </c>
      <c r="AB5" s="4">
        <f>ROUND(I5*(1-AA5/100),-1)</f>
        <v>2050</v>
      </c>
      <c r="AC5" s="4">
        <f t="shared" si="0"/>
        <v>2300</v>
      </c>
      <c r="AD5" s="4">
        <v>21</v>
      </c>
      <c r="AE5" s="4">
        <v>15</v>
      </c>
      <c r="AF5" s="4">
        <v>8</v>
      </c>
      <c r="AG5" s="4">
        <v>35</v>
      </c>
      <c r="AH5" s="4">
        <v>225</v>
      </c>
      <c r="AI5" s="4">
        <f>ROUND(300*I5*(1+AE5/100+AF5/100),0)</f>
        <v>848700</v>
      </c>
      <c r="AJ5" s="4">
        <v>4.7</v>
      </c>
      <c r="AK5" s="4">
        <v>706</v>
      </c>
      <c r="AL5" s="4" t="s">
        <v>58</v>
      </c>
      <c r="AM5" s="4" t="s">
        <v>59</v>
      </c>
    </row>
    <row r="6" spans="1:39" ht="228">
      <c r="A6" s="4" t="s">
        <v>92</v>
      </c>
      <c r="B6" s="4" t="s">
        <v>93</v>
      </c>
      <c r="C6" s="4" t="s">
        <v>94</v>
      </c>
      <c r="D6" s="4" t="s">
        <v>95</v>
      </c>
      <c r="E6" s="4" t="s">
        <v>96</v>
      </c>
      <c r="F6" s="4" t="s">
        <v>86</v>
      </c>
      <c r="G6" s="4" t="s">
        <v>97</v>
      </c>
      <c r="H6" s="4" t="s">
        <v>98</v>
      </c>
      <c r="I6" s="4">
        <v>2150</v>
      </c>
      <c r="J6" s="4">
        <v>2750</v>
      </c>
      <c r="K6" s="4">
        <v>4100</v>
      </c>
      <c r="L6" s="4">
        <v>500</v>
      </c>
      <c r="M6" s="4" t="s">
        <v>48</v>
      </c>
      <c r="N6" s="4" t="s">
        <v>60</v>
      </c>
      <c r="O6" s="4" t="s">
        <v>50</v>
      </c>
      <c r="P6" s="4">
        <v>125</v>
      </c>
      <c r="Q6" s="4" t="s">
        <v>99</v>
      </c>
      <c r="R6" s="4" t="s">
        <v>100</v>
      </c>
      <c r="S6" s="4" t="s">
        <v>50</v>
      </c>
      <c r="T6" s="4" t="s">
        <v>50</v>
      </c>
      <c r="U6" s="4" t="s">
        <v>50</v>
      </c>
      <c r="V6" s="4" t="s">
        <v>101</v>
      </c>
      <c r="W6" s="4" t="s">
        <v>54</v>
      </c>
      <c r="X6" s="4" t="s">
        <v>55</v>
      </c>
      <c r="Y6" s="4" t="s">
        <v>56</v>
      </c>
      <c r="Z6" s="4" t="s">
        <v>70</v>
      </c>
      <c r="AA6" s="4">
        <v>10</v>
      </c>
      <c r="AB6" s="4">
        <f>ROUND(I6*(1-AA6/100),-1)</f>
        <v>1940</v>
      </c>
      <c r="AC6" s="4">
        <f t="shared" si="0"/>
        <v>2150</v>
      </c>
      <c r="AD6" s="4">
        <v>22</v>
      </c>
      <c r="AE6" s="4">
        <v>15</v>
      </c>
      <c r="AF6" s="4">
        <v>7</v>
      </c>
      <c r="AG6" s="4">
        <v>33</v>
      </c>
      <c r="AH6" s="4">
        <v>175</v>
      </c>
      <c r="AI6" s="4">
        <f>ROUND(300*I6*(1+AE6/100+AF6/100),0)</f>
        <v>786900</v>
      </c>
      <c r="AJ6" s="4">
        <v>4.3</v>
      </c>
      <c r="AK6" s="4">
        <v>349</v>
      </c>
      <c r="AL6" s="4" t="s">
        <v>58</v>
      </c>
      <c r="AM6" s="4" t="s">
        <v>59</v>
      </c>
    </row>
    <row r="7" spans="1:39" ht="256.5">
      <c r="A7" s="4" t="s">
        <v>102</v>
      </c>
      <c r="B7" s="4" t="s">
        <v>103</v>
      </c>
      <c r="C7" s="4" t="s">
        <v>72</v>
      </c>
      <c r="D7" s="4" t="s">
        <v>104</v>
      </c>
      <c r="E7" s="4" t="s">
        <v>105</v>
      </c>
      <c r="F7" s="4" t="s">
        <v>75</v>
      </c>
      <c r="G7" s="4" t="s">
        <v>106</v>
      </c>
      <c r="H7" s="4" t="s">
        <v>107</v>
      </c>
      <c r="I7" s="4">
        <v>2500</v>
      </c>
      <c r="J7" s="4">
        <v>3000</v>
      </c>
      <c r="K7" s="4">
        <v>4650</v>
      </c>
      <c r="L7" s="4">
        <v>1050</v>
      </c>
      <c r="M7" s="4" t="s">
        <v>40</v>
      </c>
      <c r="N7" s="4" t="s">
        <v>60</v>
      </c>
      <c r="O7" s="4" t="s">
        <v>50</v>
      </c>
      <c r="P7" s="4">
        <v>230</v>
      </c>
      <c r="Q7" s="4" t="s">
        <v>108</v>
      </c>
      <c r="R7" s="4" t="s">
        <v>109</v>
      </c>
      <c r="S7" s="4" t="s">
        <v>50</v>
      </c>
      <c r="T7" s="4" t="s">
        <v>50</v>
      </c>
      <c r="U7" s="4" t="s">
        <v>50</v>
      </c>
      <c r="V7" s="4" t="s">
        <v>110</v>
      </c>
      <c r="W7" s="4" t="s">
        <v>54</v>
      </c>
      <c r="X7" s="4" t="s">
        <v>55</v>
      </c>
      <c r="Y7" s="4" t="s">
        <v>81</v>
      </c>
      <c r="Z7" s="4" t="s">
        <v>57</v>
      </c>
      <c r="AA7" s="4">
        <v>7</v>
      </c>
      <c r="AB7" s="4">
        <f>ROUND(I7*(1-AA7/100),-1)</f>
        <v>2330</v>
      </c>
      <c r="AC7" s="4">
        <f t="shared" si="0"/>
        <v>2500</v>
      </c>
      <c r="AD7" s="4">
        <v>17</v>
      </c>
      <c r="AE7" s="4">
        <v>15</v>
      </c>
      <c r="AF7" s="4">
        <v>9</v>
      </c>
      <c r="AG7" s="4">
        <v>41</v>
      </c>
      <c r="AH7" s="4">
        <v>325</v>
      </c>
      <c r="AI7" s="4">
        <f>ROUND(300*I7*(1+AE7/100+AF7/100),0)</f>
        <v>930000</v>
      </c>
      <c r="AJ7" s="4">
        <v>4.5</v>
      </c>
      <c r="AK7" s="4">
        <v>473</v>
      </c>
      <c r="AL7" s="4" t="s">
        <v>111</v>
      </c>
      <c r="AM7" s="4" t="s">
        <v>59</v>
      </c>
    </row>
    <row r="8" spans="1:39" ht="256.5">
      <c r="A8" s="4" t="s">
        <v>112</v>
      </c>
      <c r="B8" s="4" t="s">
        <v>113</v>
      </c>
      <c r="C8" s="4" t="s">
        <v>72</v>
      </c>
      <c r="D8" s="4" t="s">
        <v>114</v>
      </c>
      <c r="E8" s="4" t="s">
        <v>115</v>
      </c>
      <c r="F8" s="4" t="s">
        <v>86</v>
      </c>
      <c r="G8" s="4" t="s">
        <v>116</v>
      </c>
      <c r="H8" s="4" t="s">
        <v>117</v>
      </c>
      <c r="I8" s="4">
        <v>2250</v>
      </c>
      <c r="J8" s="4">
        <v>2750</v>
      </c>
      <c r="K8" s="4">
        <v>3900</v>
      </c>
      <c r="L8" s="4">
        <v>925</v>
      </c>
      <c r="M8" s="4" t="s">
        <v>40</v>
      </c>
      <c r="N8" s="4" t="s">
        <v>60</v>
      </c>
      <c r="O8" s="4" t="s">
        <v>50</v>
      </c>
      <c r="P8" s="4">
        <v>235</v>
      </c>
      <c r="Q8" s="4" t="s">
        <v>118</v>
      </c>
      <c r="R8" s="4" t="s">
        <v>119</v>
      </c>
      <c r="S8" s="4" t="s">
        <v>50</v>
      </c>
      <c r="T8" s="4" t="s">
        <v>50</v>
      </c>
      <c r="U8" s="4" t="s">
        <v>50</v>
      </c>
      <c r="V8" s="4" t="s">
        <v>120</v>
      </c>
      <c r="W8" s="4" t="s">
        <v>54</v>
      </c>
      <c r="X8" s="4" t="s">
        <v>55</v>
      </c>
      <c r="Y8" s="4" t="s">
        <v>81</v>
      </c>
      <c r="Z8" s="4" t="s">
        <v>57</v>
      </c>
      <c r="AA8" s="4">
        <v>8</v>
      </c>
      <c r="AB8" s="4">
        <f>ROUND(I8*(1-AA8/100),-1)</f>
        <v>2070</v>
      </c>
      <c r="AC8" s="4">
        <f t="shared" si="0"/>
        <v>2250</v>
      </c>
      <c r="AD8" s="4">
        <v>14</v>
      </c>
      <c r="AE8" s="4">
        <v>15</v>
      </c>
      <c r="AF8" s="4">
        <v>9</v>
      </c>
      <c r="AG8" s="4">
        <v>40</v>
      </c>
      <c r="AH8" s="4">
        <v>300</v>
      </c>
      <c r="AI8" s="4">
        <f>ROUND(300*I8*(1+AE8/100+AF8/100),0)</f>
        <v>837000</v>
      </c>
      <c r="AJ8" s="4">
        <v>4.3</v>
      </c>
      <c r="AK8" s="4">
        <v>560</v>
      </c>
      <c r="AL8" s="4" t="s">
        <v>111</v>
      </c>
      <c r="AM8" s="4" t="s">
        <v>59</v>
      </c>
    </row>
    <row r="9" spans="1:39" ht="228">
      <c r="A9" s="4" t="s">
        <v>121</v>
      </c>
      <c r="B9" s="4" t="s">
        <v>122</v>
      </c>
      <c r="C9" s="4" t="s">
        <v>72</v>
      </c>
      <c r="D9" s="4" t="s">
        <v>123</v>
      </c>
      <c r="E9" s="4" t="s">
        <v>124</v>
      </c>
      <c r="F9" s="4" t="s">
        <v>75</v>
      </c>
      <c r="G9" s="4" t="s">
        <v>125</v>
      </c>
      <c r="H9" s="4" t="s">
        <v>126</v>
      </c>
      <c r="I9" s="4">
        <v>2600</v>
      </c>
      <c r="J9" s="4">
        <v>3050</v>
      </c>
      <c r="K9" s="4">
        <v>4100</v>
      </c>
      <c r="L9" s="4">
        <v>725</v>
      </c>
      <c r="M9" s="4" t="s">
        <v>48</v>
      </c>
      <c r="N9" s="4" t="s">
        <v>40</v>
      </c>
      <c r="O9" s="4" t="s">
        <v>50</v>
      </c>
      <c r="P9" s="4">
        <v>155</v>
      </c>
      <c r="Q9" s="4" t="s">
        <v>127</v>
      </c>
      <c r="R9" s="4" t="s">
        <v>128</v>
      </c>
      <c r="S9" s="4" t="s">
        <v>50</v>
      </c>
      <c r="T9" s="4" t="s">
        <v>50</v>
      </c>
      <c r="U9" s="4" t="s">
        <v>50</v>
      </c>
      <c r="V9" s="4" t="s">
        <v>129</v>
      </c>
      <c r="W9" s="4" t="s">
        <v>54</v>
      </c>
      <c r="X9" s="4" t="s">
        <v>55</v>
      </c>
      <c r="Y9" s="4" t="s">
        <v>130</v>
      </c>
      <c r="Z9" s="4" t="s">
        <v>57</v>
      </c>
      <c r="AA9" s="4">
        <v>12</v>
      </c>
      <c r="AB9" s="4">
        <f>ROUND(I9*(1-AA9/100),-1)</f>
        <v>2290</v>
      </c>
      <c r="AC9" s="4">
        <f t="shared" si="0"/>
        <v>2600</v>
      </c>
      <c r="AD9" s="4">
        <v>16</v>
      </c>
      <c r="AE9" s="4">
        <v>15</v>
      </c>
      <c r="AF9" s="4">
        <v>7</v>
      </c>
      <c r="AG9" s="4">
        <v>44</v>
      </c>
      <c r="AH9" s="4">
        <v>250</v>
      </c>
      <c r="AI9" s="4">
        <f>ROUND(300*I9*(1+AE9/100+AF9/100),0)</f>
        <v>951600</v>
      </c>
      <c r="AJ9" s="4">
        <v>3.9</v>
      </c>
      <c r="AK9" s="4">
        <v>155</v>
      </c>
      <c r="AL9" s="4" t="s">
        <v>58</v>
      </c>
      <c r="AM9" s="4" t="s">
        <v>59</v>
      </c>
    </row>
    <row r="10" spans="1:39" ht="256.5">
      <c r="A10" s="4" t="s">
        <v>131</v>
      </c>
      <c r="B10" s="4" t="s">
        <v>132</v>
      </c>
      <c r="C10" s="4" t="s">
        <v>72</v>
      </c>
      <c r="D10" s="4" t="s">
        <v>133</v>
      </c>
      <c r="E10" s="4" t="s">
        <v>134</v>
      </c>
      <c r="F10" s="4" t="s">
        <v>75</v>
      </c>
      <c r="G10" s="4" t="s">
        <v>135</v>
      </c>
      <c r="H10" s="4" t="s">
        <v>136</v>
      </c>
      <c r="I10" s="4">
        <v>2450</v>
      </c>
      <c r="J10" s="4">
        <v>2900</v>
      </c>
      <c r="K10" s="4">
        <v>4450</v>
      </c>
      <c r="L10" s="4">
        <v>1050</v>
      </c>
      <c r="M10" s="4" t="s">
        <v>40</v>
      </c>
      <c r="N10" s="4" t="s">
        <v>60</v>
      </c>
      <c r="O10" s="4" t="s">
        <v>50</v>
      </c>
      <c r="P10" s="4">
        <v>230</v>
      </c>
      <c r="Q10" s="4" t="s">
        <v>137</v>
      </c>
      <c r="R10" s="4" t="s">
        <v>138</v>
      </c>
      <c r="S10" s="4" t="s">
        <v>50</v>
      </c>
      <c r="T10" s="4" t="s">
        <v>50</v>
      </c>
      <c r="U10" s="4" t="s">
        <v>50</v>
      </c>
      <c r="V10" s="4" t="s">
        <v>139</v>
      </c>
      <c r="W10" s="4" t="s">
        <v>54</v>
      </c>
      <c r="X10" s="4" t="s">
        <v>55</v>
      </c>
      <c r="Y10" s="4" t="s">
        <v>81</v>
      </c>
      <c r="Z10" s="4" t="s">
        <v>57</v>
      </c>
      <c r="AA10" s="4">
        <v>7</v>
      </c>
      <c r="AB10" s="4">
        <f>ROUND(I10*(1-AA10/100),-1)</f>
        <v>2280</v>
      </c>
      <c r="AC10" s="4">
        <f t="shared" si="0"/>
        <v>2450</v>
      </c>
      <c r="AD10" s="4">
        <v>17</v>
      </c>
      <c r="AE10" s="4">
        <v>15</v>
      </c>
      <c r="AF10" s="4">
        <v>6</v>
      </c>
      <c r="AG10" s="4">
        <v>47</v>
      </c>
      <c r="AH10" s="4">
        <v>400</v>
      </c>
      <c r="AI10" s="4">
        <f>ROUND(300*I10*(1+AE10/100+AF10/100),0)</f>
        <v>889350</v>
      </c>
      <c r="AJ10" s="4">
        <v>4.8</v>
      </c>
      <c r="AK10" s="4">
        <v>381</v>
      </c>
      <c r="AL10" s="4" t="s">
        <v>58</v>
      </c>
      <c r="AM10" s="4" t="s">
        <v>59</v>
      </c>
    </row>
    <row r="11" spans="1:39" ht="228">
      <c r="A11" s="4" t="s">
        <v>140</v>
      </c>
      <c r="B11" s="4" t="s">
        <v>141</v>
      </c>
      <c r="C11" s="4" t="s">
        <v>94</v>
      </c>
      <c r="D11" s="4" t="s">
        <v>142</v>
      </c>
      <c r="E11" s="4" t="s">
        <v>143</v>
      </c>
      <c r="F11" s="4" t="s">
        <v>75</v>
      </c>
      <c r="G11" s="4" t="s">
        <v>144</v>
      </c>
      <c r="H11" s="4" t="s">
        <v>145</v>
      </c>
      <c r="I11" s="4">
        <v>2000</v>
      </c>
      <c r="J11" s="4">
        <v>2450</v>
      </c>
      <c r="K11" s="4">
        <v>3550</v>
      </c>
      <c r="L11" s="4">
        <v>800</v>
      </c>
      <c r="M11" s="4" t="s">
        <v>48</v>
      </c>
      <c r="N11" s="4" t="s">
        <v>40</v>
      </c>
      <c r="O11" s="4" t="s">
        <v>50</v>
      </c>
      <c r="P11" s="4">
        <v>175</v>
      </c>
      <c r="Q11" s="4" t="s">
        <v>146</v>
      </c>
      <c r="R11" s="4" t="s">
        <v>147</v>
      </c>
      <c r="S11" s="4" t="s">
        <v>50</v>
      </c>
      <c r="T11" s="4" t="s">
        <v>50</v>
      </c>
      <c r="U11" s="4" t="s">
        <v>50</v>
      </c>
      <c r="V11" s="4" t="s">
        <v>148</v>
      </c>
      <c r="W11" s="4" t="s">
        <v>54</v>
      </c>
      <c r="X11" s="4" t="s">
        <v>55</v>
      </c>
      <c r="Y11" s="4" t="s">
        <v>69</v>
      </c>
      <c r="Z11" s="4" t="s">
        <v>70</v>
      </c>
      <c r="AA11" s="4">
        <v>6</v>
      </c>
      <c r="AB11" s="4">
        <f>ROUND(I11*(1-AA11/100),-1)</f>
        <v>1880</v>
      </c>
      <c r="AC11" s="4">
        <f t="shared" si="0"/>
        <v>2000</v>
      </c>
      <c r="AD11" s="4">
        <v>19</v>
      </c>
      <c r="AE11" s="4">
        <v>15</v>
      </c>
      <c r="AF11" s="4">
        <v>6</v>
      </c>
      <c r="AG11" s="4">
        <v>42</v>
      </c>
      <c r="AH11" s="4">
        <v>225</v>
      </c>
      <c r="AI11" s="4">
        <f>ROUND(300*I11*(1+AE11/100+AF11/100),0)</f>
        <v>726000</v>
      </c>
      <c r="AJ11" s="4">
        <v>4.2</v>
      </c>
      <c r="AK11" s="4">
        <v>811</v>
      </c>
      <c r="AL11" s="4" t="s">
        <v>111</v>
      </c>
      <c r="AM11" s="4" t="s">
        <v>59</v>
      </c>
    </row>
    <row r="12" spans="1:39" ht="256.5">
      <c r="A12" s="4" t="s">
        <v>149</v>
      </c>
      <c r="B12" s="4" t="s">
        <v>150</v>
      </c>
      <c r="C12" s="4" t="s">
        <v>72</v>
      </c>
      <c r="D12" s="4" t="s">
        <v>151</v>
      </c>
      <c r="E12" s="4" t="s">
        <v>152</v>
      </c>
      <c r="F12" s="4" t="s">
        <v>153</v>
      </c>
      <c r="G12" s="4" t="s">
        <v>154</v>
      </c>
      <c r="H12" s="4" t="s">
        <v>155</v>
      </c>
      <c r="I12" s="4">
        <v>2450</v>
      </c>
      <c r="J12" s="4">
        <v>3250</v>
      </c>
      <c r="K12" s="4">
        <v>4700</v>
      </c>
      <c r="L12" s="4">
        <v>475</v>
      </c>
      <c r="M12" s="4" t="s">
        <v>40</v>
      </c>
      <c r="N12" s="4" t="s">
        <v>40</v>
      </c>
      <c r="O12" s="4" t="s">
        <v>50</v>
      </c>
      <c r="P12" s="4">
        <v>100</v>
      </c>
      <c r="Q12" s="4" t="s">
        <v>156</v>
      </c>
      <c r="R12" s="4" t="s">
        <v>157</v>
      </c>
      <c r="S12" s="4" t="s">
        <v>50</v>
      </c>
      <c r="T12" s="4" t="s">
        <v>50</v>
      </c>
      <c r="U12" s="4" t="s">
        <v>50</v>
      </c>
      <c r="V12" s="4" t="s">
        <v>158</v>
      </c>
      <c r="W12" s="4" t="s">
        <v>54</v>
      </c>
      <c r="X12" s="4" t="s">
        <v>55</v>
      </c>
      <c r="Y12" s="4" t="s">
        <v>81</v>
      </c>
      <c r="Z12" s="4" t="s">
        <v>57</v>
      </c>
      <c r="AA12" s="4">
        <v>10</v>
      </c>
      <c r="AB12" s="4">
        <f>ROUND(I12*(1-AA12/100),-1)</f>
        <v>2210</v>
      </c>
      <c r="AC12" s="4">
        <f t="shared" si="0"/>
        <v>2450</v>
      </c>
      <c r="AD12" s="4">
        <v>22</v>
      </c>
      <c r="AE12" s="4">
        <v>15</v>
      </c>
      <c r="AF12" s="4">
        <v>7</v>
      </c>
      <c r="AG12" s="4">
        <v>43</v>
      </c>
      <c r="AH12" s="4">
        <v>175</v>
      </c>
      <c r="AI12" s="4">
        <f>ROUND(300*I12*(1+AE12/100+AF12/100),0)</f>
        <v>896700</v>
      </c>
      <c r="AJ12" s="4">
        <v>4.9000000000000004</v>
      </c>
      <c r="AK12" s="4">
        <v>361</v>
      </c>
      <c r="AL12" s="4" t="s">
        <v>111</v>
      </c>
      <c r="AM12" s="4" t="s">
        <v>59</v>
      </c>
    </row>
    <row r="13" spans="1:39" ht="256.5">
      <c r="A13" s="4" t="s">
        <v>159</v>
      </c>
      <c r="B13" s="4" t="s">
        <v>160</v>
      </c>
      <c r="C13" s="4" t="s">
        <v>72</v>
      </c>
      <c r="D13" s="4" t="s">
        <v>161</v>
      </c>
      <c r="E13" s="4" t="s">
        <v>162</v>
      </c>
      <c r="F13" s="4" t="s">
        <v>163</v>
      </c>
      <c r="G13" s="4" t="s">
        <v>164</v>
      </c>
      <c r="H13" s="4" t="s">
        <v>165</v>
      </c>
      <c r="I13" s="4">
        <v>2350</v>
      </c>
      <c r="J13" s="4">
        <v>3100</v>
      </c>
      <c r="K13" s="4">
        <v>4800</v>
      </c>
      <c r="L13" s="4">
        <v>450</v>
      </c>
      <c r="M13" s="4" t="s">
        <v>40</v>
      </c>
      <c r="N13" s="4" t="s">
        <v>40</v>
      </c>
      <c r="O13" s="4" t="s">
        <v>50</v>
      </c>
      <c r="P13" s="4">
        <v>120</v>
      </c>
      <c r="Q13" s="4" t="s">
        <v>166</v>
      </c>
      <c r="R13" s="4" t="s">
        <v>167</v>
      </c>
      <c r="S13" s="4" t="s">
        <v>50</v>
      </c>
      <c r="T13" s="4" t="s">
        <v>50</v>
      </c>
      <c r="U13" s="4" t="s">
        <v>50</v>
      </c>
      <c r="V13" s="4" t="s">
        <v>168</v>
      </c>
      <c r="W13" s="4" t="s">
        <v>54</v>
      </c>
      <c r="X13" s="4" t="s">
        <v>55</v>
      </c>
      <c r="Y13" s="4" t="s">
        <v>169</v>
      </c>
      <c r="Z13" s="4" t="s">
        <v>57</v>
      </c>
      <c r="AA13" s="4">
        <v>8</v>
      </c>
      <c r="AB13" s="4">
        <f>ROUND(I13*(1-AA13/100),-1)</f>
        <v>2160</v>
      </c>
      <c r="AC13" s="4">
        <f t="shared" si="0"/>
        <v>2350</v>
      </c>
      <c r="AD13" s="4">
        <v>15</v>
      </c>
      <c r="AE13" s="4">
        <v>15</v>
      </c>
      <c r="AF13" s="4">
        <v>7</v>
      </c>
      <c r="AG13" s="4">
        <v>35</v>
      </c>
      <c r="AH13" s="4">
        <v>175</v>
      </c>
      <c r="AI13" s="4">
        <f>ROUND(300*I13*(1+AE13/100+AF13/100),0)</f>
        <v>860100</v>
      </c>
      <c r="AJ13" s="4">
        <v>4.3</v>
      </c>
      <c r="AK13" s="4">
        <v>43</v>
      </c>
      <c r="AL13" s="4" t="s">
        <v>58</v>
      </c>
      <c r="AM13" s="4" t="s">
        <v>59</v>
      </c>
    </row>
    <row r="14" spans="1:39" ht="213.75">
      <c r="A14" s="4" t="s">
        <v>170</v>
      </c>
      <c r="B14" s="4" t="s">
        <v>171</v>
      </c>
      <c r="C14" s="4" t="s">
        <v>94</v>
      </c>
      <c r="D14" s="4" t="s">
        <v>172</v>
      </c>
      <c r="E14" s="4" t="s">
        <v>173</v>
      </c>
      <c r="F14" s="4" t="s">
        <v>163</v>
      </c>
      <c r="G14" s="4" t="s">
        <v>174</v>
      </c>
      <c r="H14" s="4" t="s">
        <v>175</v>
      </c>
      <c r="I14" s="4">
        <v>1900</v>
      </c>
      <c r="J14" s="4">
        <v>2700</v>
      </c>
      <c r="K14" s="4">
        <v>3850</v>
      </c>
      <c r="L14" s="4">
        <v>500</v>
      </c>
      <c r="M14" s="4" t="s">
        <v>48</v>
      </c>
      <c r="N14" s="4" t="s">
        <v>40</v>
      </c>
      <c r="O14" s="4" t="s">
        <v>50</v>
      </c>
      <c r="P14" s="4">
        <v>90</v>
      </c>
      <c r="Q14" s="4" t="s">
        <v>176</v>
      </c>
      <c r="R14" s="4" t="s">
        <v>177</v>
      </c>
      <c r="S14" s="4" t="s">
        <v>50</v>
      </c>
      <c r="T14" s="4" t="s">
        <v>50</v>
      </c>
      <c r="U14" s="4" t="s">
        <v>50</v>
      </c>
      <c r="V14" s="4" t="s">
        <v>178</v>
      </c>
      <c r="W14" s="4" t="s">
        <v>54</v>
      </c>
      <c r="X14" s="4" t="s">
        <v>55</v>
      </c>
      <c r="Y14" s="4" t="s">
        <v>169</v>
      </c>
      <c r="Z14" s="4" t="s">
        <v>70</v>
      </c>
      <c r="AA14" s="4">
        <v>7</v>
      </c>
      <c r="AB14" s="4">
        <f>ROUND(I14*(1-AA14/100),-1)</f>
        <v>1770</v>
      </c>
      <c r="AC14" s="4">
        <f t="shared" si="0"/>
        <v>1900</v>
      </c>
      <c r="AD14" s="4">
        <v>19</v>
      </c>
      <c r="AE14" s="4">
        <v>15</v>
      </c>
      <c r="AF14" s="4">
        <v>7</v>
      </c>
      <c r="AG14" s="4">
        <v>37</v>
      </c>
      <c r="AH14" s="4">
        <v>200</v>
      </c>
      <c r="AI14" s="4">
        <f>ROUND(300*I14*(1+AE14/100+AF14/100),0)</f>
        <v>695400</v>
      </c>
      <c r="AJ14" s="4">
        <v>4.2</v>
      </c>
      <c r="AK14" s="4">
        <v>731</v>
      </c>
      <c r="AL14" s="4" t="s">
        <v>58</v>
      </c>
      <c r="AM14" s="4" t="s">
        <v>59</v>
      </c>
    </row>
    <row r="15" spans="1:39" ht="228">
      <c r="A15" s="4" t="s">
        <v>179</v>
      </c>
      <c r="B15" s="4" t="s">
        <v>180</v>
      </c>
      <c r="C15" s="4" t="s">
        <v>94</v>
      </c>
      <c r="D15" s="4" t="s">
        <v>181</v>
      </c>
      <c r="E15" s="4" t="s">
        <v>182</v>
      </c>
      <c r="F15" s="4" t="s">
        <v>75</v>
      </c>
      <c r="G15" s="4" t="s">
        <v>183</v>
      </c>
      <c r="H15" s="4" t="s">
        <v>184</v>
      </c>
      <c r="I15" s="4">
        <v>2100</v>
      </c>
      <c r="J15" s="4">
        <v>2800</v>
      </c>
      <c r="K15" s="4">
        <v>4850</v>
      </c>
      <c r="L15" s="4">
        <v>500</v>
      </c>
      <c r="M15" s="4" t="s">
        <v>48</v>
      </c>
      <c r="N15" s="4" t="s">
        <v>40</v>
      </c>
      <c r="O15" s="4" t="s">
        <v>50</v>
      </c>
      <c r="P15" s="4">
        <v>115</v>
      </c>
      <c r="Q15" s="4" t="s">
        <v>185</v>
      </c>
      <c r="R15" s="4" t="s">
        <v>186</v>
      </c>
      <c r="S15" s="4" t="s">
        <v>50</v>
      </c>
      <c r="T15" s="4" t="s">
        <v>50</v>
      </c>
      <c r="U15" s="4" t="s">
        <v>50</v>
      </c>
      <c r="V15" s="4" t="s">
        <v>187</v>
      </c>
      <c r="W15" s="4" t="s">
        <v>54</v>
      </c>
      <c r="X15" s="4" t="s">
        <v>55</v>
      </c>
      <c r="Y15" s="4" t="s">
        <v>69</v>
      </c>
      <c r="Z15" s="4" t="s">
        <v>70</v>
      </c>
      <c r="AA15" s="4">
        <v>11</v>
      </c>
      <c r="AB15" s="4">
        <f>ROUND(I15*(1-AA15/100),-1)</f>
        <v>1870</v>
      </c>
      <c r="AC15" s="4">
        <f t="shared" si="0"/>
        <v>2100</v>
      </c>
      <c r="AD15" s="4">
        <v>11</v>
      </c>
      <c r="AE15" s="4">
        <v>15</v>
      </c>
      <c r="AF15" s="4">
        <v>9</v>
      </c>
      <c r="AG15" s="4">
        <v>43</v>
      </c>
      <c r="AH15" s="4">
        <v>150</v>
      </c>
      <c r="AI15" s="4">
        <f>ROUND(300*I15*(1+AE15/100+AF15/100),0)</f>
        <v>781200</v>
      </c>
      <c r="AJ15" s="4">
        <v>4.5</v>
      </c>
      <c r="AK15" s="4">
        <v>840</v>
      </c>
      <c r="AL15" s="4" t="s">
        <v>111</v>
      </c>
      <c r="AM15" s="4" t="s">
        <v>59</v>
      </c>
    </row>
    <row r="16" spans="1:39" ht="228">
      <c r="A16" s="4" t="s">
        <v>188</v>
      </c>
      <c r="B16" s="4" t="s">
        <v>189</v>
      </c>
      <c r="C16" s="4" t="s">
        <v>94</v>
      </c>
      <c r="D16" s="4" t="s">
        <v>190</v>
      </c>
      <c r="E16" s="4" t="s">
        <v>191</v>
      </c>
      <c r="F16" s="4" t="s">
        <v>192</v>
      </c>
      <c r="G16" s="4" t="s">
        <v>193</v>
      </c>
      <c r="H16" s="4" t="s">
        <v>194</v>
      </c>
      <c r="I16" s="4">
        <v>2100</v>
      </c>
      <c r="J16" s="4">
        <v>2650</v>
      </c>
      <c r="K16" s="4">
        <v>4200</v>
      </c>
      <c r="L16" s="4">
        <v>500</v>
      </c>
      <c r="M16" s="4" t="s">
        <v>48</v>
      </c>
      <c r="N16" s="4" t="s">
        <v>40</v>
      </c>
      <c r="O16" s="4" t="s">
        <v>50</v>
      </c>
      <c r="P16" s="4">
        <v>105</v>
      </c>
      <c r="Q16" s="4" t="s">
        <v>195</v>
      </c>
      <c r="R16" s="4" t="s">
        <v>196</v>
      </c>
      <c r="S16" s="4" t="s">
        <v>50</v>
      </c>
      <c r="T16" s="4" t="s">
        <v>50</v>
      </c>
      <c r="U16" s="4" t="s">
        <v>50</v>
      </c>
      <c r="V16" s="4" t="s">
        <v>197</v>
      </c>
      <c r="W16" s="4" t="s">
        <v>54</v>
      </c>
      <c r="X16" s="4" t="s">
        <v>55</v>
      </c>
      <c r="Y16" s="4" t="s">
        <v>69</v>
      </c>
      <c r="Z16" s="4" t="s">
        <v>70</v>
      </c>
      <c r="AA16" s="4">
        <v>11</v>
      </c>
      <c r="AB16" s="4">
        <f>ROUND(I16*(1-AA16/100),-1)</f>
        <v>1870</v>
      </c>
      <c r="AC16" s="4">
        <f t="shared" si="0"/>
        <v>2100</v>
      </c>
      <c r="AD16" s="4">
        <v>12</v>
      </c>
      <c r="AE16" s="4">
        <v>15</v>
      </c>
      <c r="AF16" s="4">
        <v>7</v>
      </c>
      <c r="AG16" s="4">
        <v>42</v>
      </c>
      <c r="AH16" s="4">
        <v>200</v>
      </c>
      <c r="AI16" s="4">
        <f>ROUND(300*I16*(1+AE16/100+AF16/100),0)</f>
        <v>768600</v>
      </c>
      <c r="AJ16" s="4">
        <v>4.2</v>
      </c>
      <c r="AK16" s="4">
        <v>578</v>
      </c>
      <c r="AL16" s="4" t="s">
        <v>111</v>
      </c>
      <c r="AM16" s="4" t="s">
        <v>59</v>
      </c>
    </row>
    <row r="17" spans="1:39" ht="228">
      <c r="A17" s="4" t="s">
        <v>198</v>
      </c>
      <c r="B17" s="4" t="s">
        <v>199</v>
      </c>
      <c r="C17" s="4" t="s">
        <v>72</v>
      </c>
      <c r="D17" s="4" t="s">
        <v>200</v>
      </c>
      <c r="E17" s="4" t="s">
        <v>201</v>
      </c>
      <c r="F17" s="4" t="s">
        <v>75</v>
      </c>
      <c r="G17" s="4" t="s">
        <v>202</v>
      </c>
      <c r="H17" s="4" t="s">
        <v>203</v>
      </c>
      <c r="I17" s="4">
        <v>2250</v>
      </c>
      <c r="J17" s="4">
        <v>3050</v>
      </c>
      <c r="K17" s="4">
        <v>5150</v>
      </c>
      <c r="L17" s="4">
        <v>500</v>
      </c>
      <c r="M17" s="4" t="s">
        <v>48</v>
      </c>
      <c r="N17" s="4" t="s">
        <v>40</v>
      </c>
      <c r="O17" s="4" t="s">
        <v>50</v>
      </c>
      <c r="P17" s="4">
        <v>130</v>
      </c>
      <c r="Q17" s="4" t="s">
        <v>204</v>
      </c>
      <c r="R17" s="4" t="s">
        <v>205</v>
      </c>
      <c r="S17" s="4" t="s">
        <v>50</v>
      </c>
      <c r="T17" s="4" t="s">
        <v>50</v>
      </c>
      <c r="U17" s="4" t="s">
        <v>50</v>
      </c>
      <c r="V17" s="4" t="s">
        <v>206</v>
      </c>
      <c r="W17" s="4" t="s">
        <v>54</v>
      </c>
      <c r="X17" s="4" t="s">
        <v>55</v>
      </c>
      <c r="Y17" s="4" t="s">
        <v>69</v>
      </c>
      <c r="Z17" s="4" t="s">
        <v>57</v>
      </c>
      <c r="AA17" s="4">
        <v>9</v>
      </c>
      <c r="AB17" s="4">
        <f>ROUND(I17*(1-AA17/100),-1)</f>
        <v>2050</v>
      </c>
      <c r="AC17" s="4">
        <f t="shared" si="0"/>
        <v>2250</v>
      </c>
      <c r="AD17" s="4">
        <v>10</v>
      </c>
      <c r="AE17" s="4">
        <v>15</v>
      </c>
      <c r="AF17" s="4">
        <v>10</v>
      </c>
      <c r="AG17" s="4">
        <v>35</v>
      </c>
      <c r="AH17" s="4">
        <v>175</v>
      </c>
      <c r="AI17" s="4">
        <f>ROUND(300*I17*(1+AE17/100+AF17/100),0)</f>
        <v>843750</v>
      </c>
      <c r="AJ17" s="4">
        <v>4.7</v>
      </c>
      <c r="AK17" s="4">
        <v>41</v>
      </c>
      <c r="AL17" s="4" t="s">
        <v>58</v>
      </c>
      <c r="AM17" s="4" t="s">
        <v>59</v>
      </c>
    </row>
    <row r="18" spans="1:39" ht="228">
      <c r="A18" s="4" t="s">
        <v>207</v>
      </c>
      <c r="B18" s="4" t="s">
        <v>208</v>
      </c>
      <c r="C18" s="4" t="s">
        <v>72</v>
      </c>
      <c r="D18" s="4" t="s">
        <v>209</v>
      </c>
      <c r="E18" s="4" t="s">
        <v>210</v>
      </c>
      <c r="F18" s="4" t="s">
        <v>153</v>
      </c>
      <c r="G18" s="4" t="s">
        <v>211</v>
      </c>
      <c r="H18" s="4" t="s">
        <v>212</v>
      </c>
      <c r="I18" s="4">
        <v>2400</v>
      </c>
      <c r="J18" s="4">
        <v>3300</v>
      </c>
      <c r="K18" s="4">
        <v>4450</v>
      </c>
      <c r="L18" s="4">
        <v>450</v>
      </c>
      <c r="M18" s="4" t="s">
        <v>48</v>
      </c>
      <c r="N18" s="4" t="s">
        <v>40</v>
      </c>
      <c r="O18" s="4" t="s">
        <v>50</v>
      </c>
      <c r="P18" s="4">
        <v>115</v>
      </c>
      <c r="Q18" s="4" t="s">
        <v>213</v>
      </c>
      <c r="R18" s="4" t="s">
        <v>214</v>
      </c>
      <c r="S18" s="4" t="s">
        <v>50</v>
      </c>
      <c r="T18" s="4" t="s">
        <v>50</v>
      </c>
      <c r="U18" s="4" t="s">
        <v>50</v>
      </c>
      <c r="V18" s="4" t="s">
        <v>215</v>
      </c>
      <c r="W18" s="4" t="s">
        <v>54</v>
      </c>
      <c r="X18" s="4" t="s">
        <v>55</v>
      </c>
      <c r="Y18" s="4" t="s">
        <v>69</v>
      </c>
      <c r="Z18" s="4" t="s">
        <v>57</v>
      </c>
      <c r="AA18" s="4">
        <v>11</v>
      </c>
      <c r="AB18" s="4">
        <f>ROUND(I18*(1-AA18/100),-1)</f>
        <v>2140</v>
      </c>
      <c r="AC18" s="4">
        <f t="shared" si="0"/>
        <v>2400</v>
      </c>
      <c r="AD18" s="4">
        <v>22</v>
      </c>
      <c r="AE18" s="4">
        <v>15</v>
      </c>
      <c r="AF18" s="4">
        <v>8</v>
      </c>
      <c r="AG18" s="4">
        <v>39</v>
      </c>
      <c r="AH18" s="4">
        <v>125</v>
      </c>
      <c r="AI18" s="4">
        <f>ROUND(300*I18*(1+AE18/100+AF18/100),0)</f>
        <v>885600</v>
      </c>
      <c r="AJ18" s="4">
        <v>4.4000000000000004</v>
      </c>
      <c r="AK18" s="4">
        <v>347</v>
      </c>
      <c r="AL18" s="4" t="s">
        <v>58</v>
      </c>
      <c r="AM18" s="4" t="s">
        <v>59</v>
      </c>
    </row>
    <row r="19" spans="1:39" ht="213.75">
      <c r="A19" s="4" t="s">
        <v>216</v>
      </c>
      <c r="B19" s="4" t="s">
        <v>217</v>
      </c>
      <c r="C19" s="4" t="s">
        <v>94</v>
      </c>
      <c r="D19" s="4" t="s">
        <v>218</v>
      </c>
      <c r="E19" s="4" t="s">
        <v>219</v>
      </c>
      <c r="F19" s="4" t="s">
        <v>75</v>
      </c>
      <c r="G19" s="4" t="s">
        <v>220</v>
      </c>
      <c r="H19" s="4" t="s">
        <v>221</v>
      </c>
      <c r="I19" s="4">
        <v>1850</v>
      </c>
      <c r="J19" s="4">
        <v>2550</v>
      </c>
      <c r="K19" s="4">
        <v>4450</v>
      </c>
      <c r="L19" s="4">
        <v>475</v>
      </c>
      <c r="M19" s="4" t="s">
        <v>48</v>
      </c>
      <c r="N19" s="4" t="s">
        <v>60</v>
      </c>
      <c r="O19" s="4" t="s">
        <v>50</v>
      </c>
      <c r="P19" s="4">
        <v>85</v>
      </c>
      <c r="Q19" s="4" t="s">
        <v>222</v>
      </c>
      <c r="R19" s="4" t="s">
        <v>223</v>
      </c>
      <c r="S19" s="4" t="s">
        <v>50</v>
      </c>
      <c r="T19" s="4" t="s">
        <v>50</v>
      </c>
      <c r="U19" s="4" t="s">
        <v>50</v>
      </c>
      <c r="V19" s="4" t="s">
        <v>224</v>
      </c>
      <c r="W19" s="4" t="s">
        <v>54</v>
      </c>
      <c r="X19" s="4" t="s">
        <v>55</v>
      </c>
      <c r="Y19" s="4" t="s">
        <v>56</v>
      </c>
      <c r="Z19" s="4" t="s">
        <v>70</v>
      </c>
      <c r="AA19" s="4">
        <v>11</v>
      </c>
      <c r="AB19" s="4">
        <f>ROUND(I19*(1-AA19/100),-1)</f>
        <v>1650</v>
      </c>
      <c r="AC19" s="4">
        <f t="shared" si="0"/>
        <v>1850</v>
      </c>
      <c r="AD19" s="4">
        <v>10</v>
      </c>
      <c r="AE19" s="4">
        <v>15</v>
      </c>
      <c r="AF19" s="4">
        <v>10</v>
      </c>
      <c r="AG19" s="4">
        <v>31</v>
      </c>
      <c r="AH19" s="4">
        <v>175</v>
      </c>
      <c r="AI19" s="4">
        <f>ROUND(300*I19*(1+AE19/100+AF19/100),0)</f>
        <v>693750</v>
      </c>
      <c r="AJ19" s="4">
        <v>4.5999999999999996</v>
      </c>
      <c r="AK19" s="4">
        <v>771</v>
      </c>
      <c r="AL19" s="4" t="s">
        <v>58</v>
      </c>
      <c r="AM19" s="4" t="s">
        <v>59</v>
      </c>
    </row>
    <row r="20" spans="1:39" ht="228">
      <c r="A20" s="4" t="s">
        <v>225</v>
      </c>
      <c r="B20" s="4" t="s">
        <v>226</v>
      </c>
      <c r="C20" s="4" t="s">
        <v>94</v>
      </c>
      <c r="D20" s="4" t="s">
        <v>227</v>
      </c>
      <c r="E20" s="4" t="s">
        <v>228</v>
      </c>
      <c r="F20" s="4" t="s">
        <v>75</v>
      </c>
      <c r="G20" s="4" t="s">
        <v>229</v>
      </c>
      <c r="H20" s="4" t="s">
        <v>230</v>
      </c>
      <c r="I20" s="4">
        <v>1950</v>
      </c>
      <c r="J20" s="4">
        <v>2500</v>
      </c>
      <c r="K20" s="4">
        <v>3950</v>
      </c>
      <c r="L20" s="4">
        <v>525</v>
      </c>
      <c r="M20" s="4" t="s">
        <v>48</v>
      </c>
      <c r="N20" s="4" t="s">
        <v>40</v>
      </c>
      <c r="O20" s="4" t="s">
        <v>50</v>
      </c>
      <c r="P20" s="4">
        <v>110</v>
      </c>
      <c r="Q20" s="4" t="s">
        <v>231</v>
      </c>
      <c r="R20" s="4" t="s">
        <v>232</v>
      </c>
      <c r="S20" s="4" t="s">
        <v>50</v>
      </c>
      <c r="T20" s="4" t="s">
        <v>50</v>
      </c>
      <c r="U20" s="4" t="s">
        <v>50</v>
      </c>
      <c r="V20" s="4" t="s">
        <v>187</v>
      </c>
      <c r="W20" s="4" t="s">
        <v>54</v>
      </c>
      <c r="X20" s="4" t="s">
        <v>55</v>
      </c>
      <c r="Y20" s="4" t="s">
        <v>69</v>
      </c>
      <c r="Z20" s="4" t="s">
        <v>70</v>
      </c>
      <c r="AA20" s="4">
        <v>6</v>
      </c>
      <c r="AB20" s="4">
        <f>ROUND(I20*(1-AA20/100),-1)</f>
        <v>1830</v>
      </c>
      <c r="AC20" s="4">
        <f t="shared" si="0"/>
        <v>1950</v>
      </c>
      <c r="AD20" s="4">
        <v>14</v>
      </c>
      <c r="AE20" s="4">
        <v>15</v>
      </c>
      <c r="AF20" s="4">
        <v>6</v>
      </c>
      <c r="AG20" s="4">
        <v>36</v>
      </c>
      <c r="AH20" s="4">
        <v>175</v>
      </c>
      <c r="AI20" s="4">
        <f>ROUND(300*I20*(1+AE20/100+AF20/100),0)</f>
        <v>707850</v>
      </c>
      <c r="AJ20" s="4">
        <v>4.5999999999999996</v>
      </c>
      <c r="AK20" s="4">
        <v>435</v>
      </c>
      <c r="AL20" s="4" t="s">
        <v>111</v>
      </c>
      <c r="AM20" s="4" t="s">
        <v>59</v>
      </c>
    </row>
    <row r="21" spans="1:39" ht="256.5">
      <c r="A21" s="4" t="s">
        <v>233</v>
      </c>
      <c r="B21" s="4" t="s">
        <v>234</v>
      </c>
      <c r="C21" s="4" t="s">
        <v>94</v>
      </c>
      <c r="D21" s="4" t="s">
        <v>235</v>
      </c>
      <c r="E21" s="4" t="s">
        <v>236</v>
      </c>
      <c r="F21" s="4" t="s">
        <v>86</v>
      </c>
      <c r="G21" s="4" t="s">
        <v>237</v>
      </c>
      <c r="H21" s="4" t="s">
        <v>238</v>
      </c>
      <c r="I21" s="4">
        <v>2150</v>
      </c>
      <c r="J21" s="4">
        <v>2950</v>
      </c>
      <c r="K21" s="4">
        <v>4550</v>
      </c>
      <c r="L21" s="4">
        <v>500</v>
      </c>
      <c r="M21" s="4" t="s">
        <v>40</v>
      </c>
      <c r="N21" s="4" t="s">
        <v>40</v>
      </c>
      <c r="O21" s="4" t="s">
        <v>50</v>
      </c>
      <c r="P21" s="4">
        <v>130</v>
      </c>
      <c r="Q21" s="4" t="s">
        <v>239</v>
      </c>
      <c r="R21" s="4" t="s">
        <v>240</v>
      </c>
      <c r="S21" s="4" t="s">
        <v>50</v>
      </c>
      <c r="T21" s="4" t="s">
        <v>50</v>
      </c>
      <c r="U21" s="4" t="s">
        <v>50</v>
      </c>
      <c r="V21" s="4" t="s">
        <v>241</v>
      </c>
      <c r="W21" s="4" t="s">
        <v>54</v>
      </c>
      <c r="X21" s="4" t="s">
        <v>55</v>
      </c>
      <c r="Y21" s="4" t="s">
        <v>81</v>
      </c>
      <c r="Z21" s="4" t="s">
        <v>70</v>
      </c>
      <c r="AA21" s="4">
        <v>8</v>
      </c>
      <c r="AB21" s="4">
        <f>ROUND(I21*(1-AA21/100),-1)</f>
        <v>1980</v>
      </c>
      <c r="AC21" s="4">
        <f t="shared" si="0"/>
        <v>2150</v>
      </c>
      <c r="AD21" s="4">
        <v>18</v>
      </c>
      <c r="AE21" s="4">
        <v>15</v>
      </c>
      <c r="AF21" s="4">
        <v>9</v>
      </c>
      <c r="AG21" s="4">
        <v>35</v>
      </c>
      <c r="AH21" s="4">
        <v>150</v>
      </c>
      <c r="AI21" s="4">
        <f>ROUND(300*I21*(1+AE21/100+AF21/100),0)</f>
        <v>799800</v>
      </c>
      <c r="AJ21" s="4">
        <v>3.9</v>
      </c>
      <c r="AK21" s="4">
        <v>465</v>
      </c>
      <c r="AL21" s="4" t="s">
        <v>58</v>
      </c>
      <c r="AM21" s="4" t="s">
        <v>59</v>
      </c>
    </row>
    <row r="22" spans="1:39" ht="256.5">
      <c r="A22" s="4" t="s">
        <v>242</v>
      </c>
      <c r="B22" s="4" t="s">
        <v>243</v>
      </c>
      <c r="C22" s="4" t="s">
        <v>72</v>
      </c>
      <c r="D22" s="4" t="s">
        <v>244</v>
      </c>
      <c r="E22" s="4" t="s">
        <v>245</v>
      </c>
      <c r="F22" s="4" t="s">
        <v>192</v>
      </c>
      <c r="G22" s="4" t="s">
        <v>246</v>
      </c>
      <c r="H22" s="4" t="s">
        <v>247</v>
      </c>
      <c r="I22" s="4">
        <v>2300</v>
      </c>
      <c r="J22" s="4">
        <v>2950</v>
      </c>
      <c r="K22" s="4">
        <v>4250</v>
      </c>
      <c r="L22" s="4">
        <v>500</v>
      </c>
      <c r="M22" s="4" t="s">
        <v>40</v>
      </c>
      <c r="N22" s="4" t="s">
        <v>40</v>
      </c>
      <c r="O22" s="4" t="s">
        <v>50</v>
      </c>
      <c r="P22" s="4">
        <v>105</v>
      </c>
      <c r="Q22" s="4" t="s">
        <v>248</v>
      </c>
      <c r="R22" s="4" t="s">
        <v>249</v>
      </c>
      <c r="S22" s="4" t="s">
        <v>50</v>
      </c>
      <c r="T22" s="4" t="s">
        <v>50</v>
      </c>
      <c r="U22" s="4" t="s">
        <v>50</v>
      </c>
      <c r="V22" s="4" t="s">
        <v>250</v>
      </c>
      <c r="W22" s="4" t="s">
        <v>54</v>
      </c>
      <c r="X22" s="4" t="s">
        <v>55</v>
      </c>
      <c r="Y22" s="4" t="s">
        <v>81</v>
      </c>
      <c r="Z22" s="4" t="s">
        <v>57</v>
      </c>
      <c r="AA22" s="4">
        <v>12</v>
      </c>
      <c r="AB22" s="4">
        <f>ROUND(I22*(1-AA22/100),-1)</f>
        <v>2020</v>
      </c>
      <c r="AC22" s="4">
        <f t="shared" si="0"/>
        <v>2300</v>
      </c>
      <c r="AD22" s="4">
        <v>21</v>
      </c>
      <c r="AE22" s="4">
        <v>15</v>
      </c>
      <c r="AF22" s="4">
        <v>9</v>
      </c>
      <c r="AG22" s="4">
        <v>35</v>
      </c>
      <c r="AH22" s="4">
        <v>175</v>
      </c>
      <c r="AI22" s="4">
        <f>ROUND(300*I22*(1+AE22/100+AF22/100),0)</f>
        <v>855600</v>
      </c>
      <c r="AJ22" s="4">
        <v>4.2</v>
      </c>
      <c r="AK22" s="4">
        <v>538</v>
      </c>
      <c r="AL22" s="4" t="s">
        <v>111</v>
      </c>
      <c r="AM22" s="4" t="s">
        <v>59</v>
      </c>
    </row>
    <row r="23" spans="1:39" ht="256.5">
      <c r="A23" s="4" t="s">
        <v>251</v>
      </c>
      <c r="B23" s="4" t="s">
        <v>252</v>
      </c>
      <c r="C23" s="4" t="s">
        <v>72</v>
      </c>
      <c r="D23" s="4" t="s">
        <v>253</v>
      </c>
      <c r="E23" s="4" t="s">
        <v>254</v>
      </c>
      <c r="F23" s="4" t="s">
        <v>255</v>
      </c>
      <c r="G23" s="4" t="s">
        <v>256</v>
      </c>
      <c r="H23" s="4" t="s">
        <v>257</v>
      </c>
      <c r="I23" s="4">
        <v>2500</v>
      </c>
      <c r="J23" s="4">
        <v>3450</v>
      </c>
      <c r="K23" s="4">
        <v>4450</v>
      </c>
      <c r="L23" s="4">
        <v>525</v>
      </c>
      <c r="M23" s="4" t="s">
        <v>40</v>
      </c>
      <c r="N23" s="4" t="s">
        <v>40</v>
      </c>
      <c r="O23" s="4" t="s">
        <v>50</v>
      </c>
      <c r="P23" s="4">
        <v>125</v>
      </c>
      <c r="Q23" s="4" t="s">
        <v>258</v>
      </c>
      <c r="R23" s="4" t="s">
        <v>259</v>
      </c>
      <c r="S23" s="4" t="s">
        <v>50</v>
      </c>
      <c r="T23" s="4" t="s">
        <v>50</v>
      </c>
      <c r="U23" s="4" t="s">
        <v>50</v>
      </c>
      <c r="V23" s="4" t="s">
        <v>260</v>
      </c>
      <c r="W23" s="4" t="s">
        <v>54</v>
      </c>
      <c r="X23" s="4" t="s">
        <v>55</v>
      </c>
      <c r="Y23" s="4" t="s">
        <v>81</v>
      </c>
      <c r="Z23" s="4" t="s">
        <v>57</v>
      </c>
      <c r="AA23" s="4">
        <v>9</v>
      </c>
      <c r="AB23" s="4">
        <f>ROUND(I23*(1-AA23/100),-1)</f>
        <v>2280</v>
      </c>
      <c r="AC23" s="4">
        <f t="shared" si="0"/>
        <v>2500</v>
      </c>
      <c r="AD23" s="4">
        <v>10</v>
      </c>
      <c r="AE23" s="4">
        <v>15</v>
      </c>
      <c r="AF23" s="4">
        <v>9</v>
      </c>
      <c r="AG23" s="4">
        <v>34</v>
      </c>
      <c r="AH23" s="4">
        <v>175</v>
      </c>
      <c r="AI23" s="4">
        <f>ROUND(300*I23*(1+AE23/100+AF23/100),0)</f>
        <v>930000</v>
      </c>
      <c r="AJ23" s="4">
        <v>4.5999999999999996</v>
      </c>
      <c r="AK23" s="4">
        <v>583</v>
      </c>
      <c r="AL23" s="4" t="s">
        <v>58</v>
      </c>
      <c r="AM23" s="4" t="s">
        <v>59</v>
      </c>
    </row>
    <row r="24" spans="1:39" ht="256.5">
      <c r="A24" s="4" t="s">
        <v>261</v>
      </c>
      <c r="B24" s="4" t="s">
        <v>262</v>
      </c>
      <c r="C24" s="4" t="s">
        <v>94</v>
      </c>
      <c r="D24" s="4" t="s">
        <v>263</v>
      </c>
      <c r="E24" s="4" t="s">
        <v>264</v>
      </c>
      <c r="F24" s="4" t="s">
        <v>192</v>
      </c>
      <c r="G24" s="4" t="s">
        <v>265</v>
      </c>
      <c r="H24" s="4" t="s">
        <v>266</v>
      </c>
      <c r="I24" s="4">
        <v>1850</v>
      </c>
      <c r="J24" s="4">
        <v>2300</v>
      </c>
      <c r="K24" s="4">
        <v>3850</v>
      </c>
      <c r="L24" s="4">
        <v>525</v>
      </c>
      <c r="M24" s="4" t="s">
        <v>40</v>
      </c>
      <c r="N24" s="4" t="s">
        <v>40</v>
      </c>
      <c r="O24" s="4" t="s">
        <v>50</v>
      </c>
      <c r="P24" s="4">
        <v>135</v>
      </c>
      <c r="Q24" s="4" t="s">
        <v>267</v>
      </c>
      <c r="R24" s="4" t="s">
        <v>268</v>
      </c>
      <c r="S24" s="4" t="s">
        <v>50</v>
      </c>
      <c r="T24" s="4" t="s">
        <v>50</v>
      </c>
      <c r="U24" s="4" t="s">
        <v>50</v>
      </c>
      <c r="V24" s="4" t="s">
        <v>269</v>
      </c>
      <c r="W24" s="4" t="s">
        <v>54</v>
      </c>
      <c r="X24" s="4" t="s">
        <v>55</v>
      </c>
      <c r="Y24" s="4" t="s">
        <v>81</v>
      </c>
      <c r="Z24" s="4" t="s">
        <v>70</v>
      </c>
      <c r="AA24" s="4">
        <v>11</v>
      </c>
      <c r="AB24" s="4">
        <f>ROUND(I24*(1-AA24/100),-1)</f>
        <v>1650</v>
      </c>
      <c r="AC24" s="4">
        <f t="shared" si="0"/>
        <v>1850</v>
      </c>
      <c r="AD24" s="4">
        <v>17</v>
      </c>
      <c r="AE24" s="4">
        <v>15</v>
      </c>
      <c r="AF24" s="4">
        <v>6</v>
      </c>
      <c r="AG24" s="4">
        <v>36</v>
      </c>
      <c r="AH24" s="4">
        <v>200</v>
      </c>
      <c r="AI24" s="4">
        <f>ROUND(300*I24*(1+AE24/100+AF24/100),0)</f>
        <v>671550</v>
      </c>
      <c r="AJ24" s="4">
        <v>4.2</v>
      </c>
      <c r="AK24" s="4">
        <v>137</v>
      </c>
      <c r="AL24" s="4" t="s">
        <v>111</v>
      </c>
      <c r="AM24" s="4" t="s">
        <v>59</v>
      </c>
    </row>
    <row r="25" spans="1:39" ht="256.5">
      <c r="A25" s="4" t="s">
        <v>270</v>
      </c>
      <c r="B25" s="4" t="s">
        <v>271</v>
      </c>
      <c r="C25" s="4" t="s">
        <v>72</v>
      </c>
      <c r="D25" s="4" t="s">
        <v>272</v>
      </c>
      <c r="E25" s="4" t="s">
        <v>273</v>
      </c>
      <c r="F25" s="4" t="s">
        <v>75</v>
      </c>
      <c r="G25" s="4" t="s">
        <v>274</v>
      </c>
      <c r="H25" s="4" t="s">
        <v>275</v>
      </c>
      <c r="I25" s="4">
        <v>2400</v>
      </c>
      <c r="J25" s="4">
        <v>3050</v>
      </c>
      <c r="K25" s="4">
        <v>4850</v>
      </c>
      <c r="L25" s="4">
        <v>675</v>
      </c>
      <c r="M25" s="4" t="s">
        <v>40</v>
      </c>
      <c r="N25" s="4" t="s">
        <v>40</v>
      </c>
      <c r="O25" s="4" t="s">
        <v>50</v>
      </c>
      <c r="P25" s="4">
        <v>145</v>
      </c>
      <c r="Q25" s="4" t="s">
        <v>276</v>
      </c>
      <c r="R25" s="4" t="s">
        <v>277</v>
      </c>
      <c r="S25" s="4" t="s">
        <v>50</v>
      </c>
      <c r="T25" s="4" t="s">
        <v>50</v>
      </c>
      <c r="U25" s="4" t="s">
        <v>50</v>
      </c>
      <c r="V25" s="4" t="s">
        <v>139</v>
      </c>
      <c r="W25" s="4" t="s">
        <v>54</v>
      </c>
      <c r="X25" s="4" t="s">
        <v>55</v>
      </c>
      <c r="Y25" s="4" t="s">
        <v>81</v>
      </c>
      <c r="Z25" s="4" t="s">
        <v>57</v>
      </c>
      <c r="AA25" s="4">
        <v>8</v>
      </c>
      <c r="AB25" s="4">
        <f>ROUND(I25*(1-AA25/100),-1)</f>
        <v>2210</v>
      </c>
      <c r="AC25" s="4">
        <f t="shared" si="0"/>
        <v>2400</v>
      </c>
      <c r="AD25" s="4">
        <v>12</v>
      </c>
      <c r="AE25" s="4">
        <v>15</v>
      </c>
      <c r="AF25" s="4">
        <v>8</v>
      </c>
      <c r="AG25" s="4">
        <v>45</v>
      </c>
      <c r="AH25" s="4">
        <v>200</v>
      </c>
      <c r="AI25" s="4">
        <f>ROUND(300*I25*(1+AE25/100+AF25/100),0)</f>
        <v>885600</v>
      </c>
      <c r="AJ25" s="4">
        <v>4.5</v>
      </c>
      <c r="AK25" s="4">
        <v>216</v>
      </c>
      <c r="AL25" s="4" t="s">
        <v>58</v>
      </c>
      <c r="AM25" s="4" t="s">
        <v>59</v>
      </c>
    </row>
    <row r="26" spans="1:39" ht="256.5">
      <c r="A26" s="4" t="s">
        <v>278</v>
      </c>
      <c r="B26" s="4" t="s">
        <v>279</v>
      </c>
      <c r="C26" s="4" t="s">
        <v>72</v>
      </c>
      <c r="D26" s="4" t="s">
        <v>280</v>
      </c>
      <c r="E26" s="4" t="s">
        <v>281</v>
      </c>
      <c r="F26" s="4" t="s">
        <v>282</v>
      </c>
      <c r="G26" s="4" t="s">
        <v>283</v>
      </c>
      <c r="H26" s="4" t="s">
        <v>284</v>
      </c>
      <c r="I26" s="4">
        <v>2850</v>
      </c>
      <c r="J26" s="4">
        <v>3350</v>
      </c>
      <c r="K26" s="4">
        <v>5300</v>
      </c>
      <c r="L26" s="4">
        <v>600</v>
      </c>
      <c r="M26" s="4" t="s">
        <v>40</v>
      </c>
      <c r="N26" s="4" t="s">
        <v>40</v>
      </c>
      <c r="O26" s="4" t="s">
        <v>50</v>
      </c>
      <c r="P26" s="4">
        <v>135</v>
      </c>
      <c r="Q26" s="4" t="s">
        <v>285</v>
      </c>
      <c r="R26" s="4" t="s">
        <v>286</v>
      </c>
      <c r="S26" s="4" t="s">
        <v>50</v>
      </c>
      <c r="T26" s="4" t="s">
        <v>50</v>
      </c>
      <c r="U26" s="4" t="s">
        <v>50</v>
      </c>
      <c r="V26" s="4" t="s">
        <v>287</v>
      </c>
      <c r="W26" s="4" t="s">
        <v>54</v>
      </c>
      <c r="X26" s="4" t="s">
        <v>55</v>
      </c>
      <c r="Y26" s="4" t="s">
        <v>81</v>
      </c>
      <c r="Z26" s="4" t="s">
        <v>57</v>
      </c>
      <c r="AA26" s="4">
        <v>11</v>
      </c>
      <c r="AB26" s="4">
        <f>ROUND(I26*(1-AA26/100),-1)</f>
        <v>2540</v>
      </c>
      <c r="AC26" s="4">
        <f t="shared" si="0"/>
        <v>2850</v>
      </c>
      <c r="AD26" s="4">
        <v>10</v>
      </c>
      <c r="AE26" s="4">
        <v>15</v>
      </c>
      <c r="AF26" s="4">
        <v>6</v>
      </c>
      <c r="AG26" s="4">
        <v>33</v>
      </c>
      <c r="AH26" s="4">
        <v>175</v>
      </c>
      <c r="AI26" s="4">
        <f>ROUND(300*I26*(1+AE26/100+AF26/100),0)</f>
        <v>1034550</v>
      </c>
      <c r="AJ26" s="4">
        <v>4.3</v>
      </c>
      <c r="AK26" s="4">
        <v>512</v>
      </c>
      <c r="AL26" s="4" t="s">
        <v>58</v>
      </c>
      <c r="AM26" s="4" t="s">
        <v>59</v>
      </c>
    </row>
    <row r="27" spans="1:39" ht="228">
      <c r="A27" s="4" t="s">
        <v>288</v>
      </c>
      <c r="B27" s="4" t="s">
        <v>289</v>
      </c>
      <c r="C27" s="4" t="s">
        <v>72</v>
      </c>
      <c r="D27" s="4" t="s">
        <v>290</v>
      </c>
      <c r="E27" s="4" t="s">
        <v>291</v>
      </c>
      <c r="F27" s="4" t="s">
        <v>163</v>
      </c>
      <c r="G27" s="4" t="s">
        <v>292</v>
      </c>
      <c r="H27" s="4" t="s">
        <v>293</v>
      </c>
      <c r="I27" s="4">
        <v>2450</v>
      </c>
      <c r="J27" s="4">
        <v>3350</v>
      </c>
      <c r="K27" s="4">
        <v>5400</v>
      </c>
      <c r="L27" s="4">
        <v>525</v>
      </c>
      <c r="M27" s="4" t="s">
        <v>48</v>
      </c>
      <c r="N27" s="4" t="s">
        <v>60</v>
      </c>
      <c r="O27" s="4" t="s">
        <v>50</v>
      </c>
      <c r="P27" s="4">
        <v>140</v>
      </c>
      <c r="Q27" s="4" t="s">
        <v>294</v>
      </c>
      <c r="R27" s="4" t="s">
        <v>295</v>
      </c>
      <c r="S27" s="4" t="s">
        <v>50</v>
      </c>
      <c r="T27" s="4" t="s">
        <v>50</v>
      </c>
      <c r="U27" s="4" t="s">
        <v>50</v>
      </c>
      <c r="V27" s="4" t="s">
        <v>296</v>
      </c>
      <c r="W27" s="4" t="s">
        <v>54</v>
      </c>
      <c r="X27" s="4" t="s">
        <v>55</v>
      </c>
      <c r="Y27" s="4" t="s">
        <v>169</v>
      </c>
      <c r="Z27" s="4" t="s">
        <v>57</v>
      </c>
      <c r="AA27" s="4">
        <v>11</v>
      </c>
      <c r="AB27" s="4">
        <f>ROUND(I27*(1-AA27/100),-1)</f>
        <v>2180</v>
      </c>
      <c r="AC27" s="4">
        <f t="shared" si="0"/>
        <v>2450</v>
      </c>
      <c r="AD27" s="4">
        <v>17</v>
      </c>
      <c r="AE27" s="4">
        <v>15</v>
      </c>
      <c r="AF27" s="4">
        <v>6</v>
      </c>
      <c r="AG27" s="4">
        <v>38</v>
      </c>
      <c r="AH27" s="4">
        <v>150</v>
      </c>
      <c r="AI27" s="4">
        <f>ROUND(300*I27*(1+AE27/100+AF27/100),0)</f>
        <v>889350</v>
      </c>
      <c r="AJ27" s="4">
        <v>3.9</v>
      </c>
      <c r="AK27" s="4">
        <v>161</v>
      </c>
      <c r="AL27" s="4" t="s">
        <v>58</v>
      </c>
      <c r="AM27" s="4" t="s">
        <v>59</v>
      </c>
    </row>
    <row r="28" spans="1:39" ht="256.5">
      <c r="A28" s="4" t="s">
        <v>297</v>
      </c>
      <c r="B28" s="4" t="s">
        <v>298</v>
      </c>
      <c r="C28" s="4" t="s">
        <v>72</v>
      </c>
      <c r="D28" s="4" t="s">
        <v>299</v>
      </c>
      <c r="E28" s="4" t="s">
        <v>300</v>
      </c>
      <c r="F28" s="4" t="s">
        <v>75</v>
      </c>
      <c r="G28" s="4" t="s">
        <v>301</v>
      </c>
      <c r="H28" s="4" t="s">
        <v>302</v>
      </c>
      <c r="I28" s="4">
        <v>2500</v>
      </c>
      <c r="J28" s="4">
        <v>3200</v>
      </c>
      <c r="K28" s="4">
        <v>4550</v>
      </c>
      <c r="L28" s="4">
        <v>900</v>
      </c>
      <c r="M28" s="4" t="s">
        <v>40</v>
      </c>
      <c r="N28" s="4" t="s">
        <v>60</v>
      </c>
      <c r="O28" s="4" t="s">
        <v>50</v>
      </c>
      <c r="P28" s="4">
        <v>235</v>
      </c>
      <c r="Q28" s="4" t="s">
        <v>303</v>
      </c>
      <c r="R28" s="4" t="s">
        <v>304</v>
      </c>
      <c r="S28" s="4" t="s">
        <v>50</v>
      </c>
      <c r="T28" s="4" t="s">
        <v>50</v>
      </c>
      <c r="U28" s="4" t="s">
        <v>50</v>
      </c>
      <c r="V28" s="4" t="s">
        <v>110</v>
      </c>
      <c r="W28" s="4" t="s">
        <v>54</v>
      </c>
      <c r="X28" s="4" t="s">
        <v>55</v>
      </c>
      <c r="Y28" s="4" t="s">
        <v>81</v>
      </c>
      <c r="Z28" s="4" t="s">
        <v>57</v>
      </c>
      <c r="AA28" s="4">
        <v>7</v>
      </c>
      <c r="AB28" s="4">
        <f>ROUND(I28*(1-AA28/100),-1)</f>
        <v>2330</v>
      </c>
      <c r="AC28" s="4">
        <f t="shared" si="0"/>
        <v>2500</v>
      </c>
      <c r="AD28" s="4">
        <v>11</v>
      </c>
      <c r="AE28" s="4">
        <v>15</v>
      </c>
      <c r="AF28" s="4">
        <v>10</v>
      </c>
      <c r="AG28" s="4">
        <v>45</v>
      </c>
      <c r="AH28" s="4">
        <v>300</v>
      </c>
      <c r="AI28" s="4">
        <f>ROUND(300*I28*(1+AE28/100+AF28/100),0)</f>
        <v>937500</v>
      </c>
      <c r="AJ28" s="4">
        <v>4.8</v>
      </c>
      <c r="AK28" s="4">
        <v>721</v>
      </c>
      <c r="AL28" s="4" t="s">
        <v>58</v>
      </c>
      <c r="AM28" s="4" t="s">
        <v>59</v>
      </c>
    </row>
    <row r="29" spans="1:39" ht="256.5">
      <c r="A29" s="4" t="s">
        <v>305</v>
      </c>
      <c r="B29" s="4" t="s">
        <v>306</v>
      </c>
      <c r="C29" s="4" t="s">
        <v>72</v>
      </c>
      <c r="D29" s="4" t="s">
        <v>307</v>
      </c>
      <c r="E29" s="4" t="s">
        <v>308</v>
      </c>
      <c r="F29" s="4" t="s">
        <v>255</v>
      </c>
      <c r="G29" s="4" t="s">
        <v>309</v>
      </c>
      <c r="H29" s="4" t="s">
        <v>310</v>
      </c>
      <c r="I29" s="4">
        <v>2600</v>
      </c>
      <c r="J29" s="4">
        <v>3500</v>
      </c>
      <c r="K29" s="4">
        <v>4450</v>
      </c>
      <c r="L29" s="4">
        <v>1050</v>
      </c>
      <c r="M29" s="4" t="s">
        <v>40</v>
      </c>
      <c r="N29" s="4" t="s">
        <v>60</v>
      </c>
      <c r="O29" s="4" t="s">
        <v>50</v>
      </c>
      <c r="P29" s="4">
        <v>215</v>
      </c>
      <c r="Q29" s="4" t="s">
        <v>311</v>
      </c>
      <c r="R29" s="4" t="s">
        <v>312</v>
      </c>
      <c r="S29" s="4" t="s">
        <v>50</v>
      </c>
      <c r="T29" s="4" t="s">
        <v>50</v>
      </c>
      <c r="U29" s="4" t="s">
        <v>50</v>
      </c>
      <c r="V29" s="4" t="s">
        <v>313</v>
      </c>
      <c r="W29" s="4" t="s">
        <v>54</v>
      </c>
      <c r="X29" s="4" t="s">
        <v>55</v>
      </c>
      <c r="Y29" s="4" t="s">
        <v>81</v>
      </c>
      <c r="Z29" s="4" t="s">
        <v>57</v>
      </c>
      <c r="AA29" s="4">
        <v>12</v>
      </c>
      <c r="AB29" s="4">
        <f>ROUND(I29*(1-AA29/100),-1)</f>
        <v>2290</v>
      </c>
      <c r="AC29" s="4">
        <f t="shared" si="0"/>
        <v>2600</v>
      </c>
      <c r="AD29" s="4">
        <v>11</v>
      </c>
      <c r="AE29" s="4">
        <v>15</v>
      </c>
      <c r="AF29" s="4">
        <v>9</v>
      </c>
      <c r="AG29" s="4">
        <v>44</v>
      </c>
      <c r="AH29" s="4">
        <v>400</v>
      </c>
      <c r="AI29" s="4">
        <f>ROUND(300*I29*(1+AE29/100+AF29/100),0)</f>
        <v>967200</v>
      </c>
      <c r="AJ29" s="4">
        <v>4.3</v>
      </c>
      <c r="AK29" s="4">
        <v>371</v>
      </c>
      <c r="AL29" s="4" t="s">
        <v>58</v>
      </c>
      <c r="AM29" s="4" t="s">
        <v>59</v>
      </c>
    </row>
    <row r="30" spans="1:39" ht="228">
      <c r="A30" s="4" t="s">
        <v>314</v>
      </c>
      <c r="B30" s="4" t="s">
        <v>315</v>
      </c>
      <c r="C30" s="4" t="s">
        <v>72</v>
      </c>
      <c r="D30" s="4" t="s">
        <v>316</v>
      </c>
      <c r="E30" s="4" t="s">
        <v>317</v>
      </c>
      <c r="F30" s="4" t="s">
        <v>75</v>
      </c>
      <c r="G30" s="4" t="s">
        <v>318</v>
      </c>
      <c r="H30" s="4" t="s">
        <v>319</v>
      </c>
      <c r="I30" s="4">
        <v>2300</v>
      </c>
      <c r="J30" s="4">
        <v>2950</v>
      </c>
      <c r="K30" s="4">
        <v>4950</v>
      </c>
      <c r="L30" s="4">
        <v>525</v>
      </c>
      <c r="M30" s="4" t="s">
        <v>48</v>
      </c>
      <c r="N30" s="4" t="s">
        <v>60</v>
      </c>
      <c r="O30" s="4" t="s">
        <v>50</v>
      </c>
      <c r="P30" s="4">
        <v>105</v>
      </c>
      <c r="Q30" s="4" t="s">
        <v>320</v>
      </c>
      <c r="R30" s="4" t="s">
        <v>321</v>
      </c>
      <c r="S30" s="4" t="s">
        <v>50</v>
      </c>
      <c r="T30" s="4" t="s">
        <v>50</v>
      </c>
      <c r="U30" s="4" t="s">
        <v>50</v>
      </c>
      <c r="V30" s="4" t="s">
        <v>322</v>
      </c>
      <c r="W30" s="4" t="s">
        <v>54</v>
      </c>
      <c r="X30" s="4" t="s">
        <v>55</v>
      </c>
      <c r="Y30" s="4" t="s">
        <v>56</v>
      </c>
      <c r="Z30" s="4" t="s">
        <v>57</v>
      </c>
      <c r="AA30" s="4">
        <v>9</v>
      </c>
      <c r="AB30" s="4">
        <f>ROUND(I30*(1-AA30/100),-1)</f>
        <v>2090</v>
      </c>
      <c r="AC30" s="4">
        <f t="shared" si="0"/>
        <v>2300</v>
      </c>
      <c r="AD30" s="4">
        <v>17</v>
      </c>
      <c r="AE30" s="4">
        <v>15</v>
      </c>
      <c r="AF30" s="4">
        <v>6</v>
      </c>
      <c r="AG30" s="4">
        <v>43</v>
      </c>
      <c r="AH30" s="4">
        <v>200</v>
      </c>
      <c r="AI30" s="4">
        <f>ROUND(300*I30*(1+AE30/100+AF30/100),0)</f>
        <v>834900</v>
      </c>
      <c r="AJ30" s="4">
        <v>4.5</v>
      </c>
      <c r="AK30" s="4">
        <v>406</v>
      </c>
      <c r="AL30" s="4" t="s">
        <v>58</v>
      </c>
      <c r="AM30" s="4" t="s">
        <v>59</v>
      </c>
    </row>
    <row r="31" spans="1:39" ht="256.5">
      <c r="A31" s="4" t="s">
        <v>323</v>
      </c>
      <c r="B31" s="4" t="s">
        <v>324</v>
      </c>
      <c r="C31" s="4" t="s">
        <v>94</v>
      </c>
      <c r="D31" s="4" t="s">
        <v>325</v>
      </c>
      <c r="E31" s="4" t="s">
        <v>326</v>
      </c>
      <c r="F31" s="4" t="s">
        <v>75</v>
      </c>
      <c r="G31" s="4" t="s">
        <v>327</v>
      </c>
      <c r="H31" s="4" t="s">
        <v>328</v>
      </c>
      <c r="I31" s="4">
        <v>2150</v>
      </c>
      <c r="J31" s="4">
        <v>3050</v>
      </c>
      <c r="K31" s="4">
        <v>4550</v>
      </c>
      <c r="L31" s="4">
        <v>475</v>
      </c>
      <c r="M31" s="4" t="s">
        <v>40</v>
      </c>
      <c r="N31" s="4" t="s">
        <v>40</v>
      </c>
      <c r="O31" s="4" t="s">
        <v>50</v>
      </c>
      <c r="P31" s="4">
        <v>110</v>
      </c>
      <c r="Q31" s="4" t="s">
        <v>239</v>
      </c>
      <c r="R31" s="4" t="s">
        <v>329</v>
      </c>
      <c r="S31" s="4" t="s">
        <v>50</v>
      </c>
      <c r="T31" s="4" t="s">
        <v>50</v>
      </c>
      <c r="U31" s="4" t="s">
        <v>50</v>
      </c>
      <c r="V31" s="4" t="s">
        <v>330</v>
      </c>
      <c r="W31" s="4" t="s">
        <v>54</v>
      </c>
      <c r="X31" s="4" t="s">
        <v>55</v>
      </c>
      <c r="Y31" s="4" t="s">
        <v>81</v>
      </c>
      <c r="Z31" s="4" t="s">
        <v>70</v>
      </c>
      <c r="AA31" s="4">
        <v>9</v>
      </c>
      <c r="AB31" s="4">
        <f>ROUND(I31*(1-AA31/100),-1)</f>
        <v>1960</v>
      </c>
      <c r="AC31" s="4">
        <f t="shared" si="0"/>
        <v>2150</v>
      </c>
      <c r="AD31" s="4">
        <v>14</v>
      </c>
      <c r="AE31" s="4">
        <v>15</v>
      </c>
      <c r="AF31" s="4">
        <v>10</v>
      </c>
      <c r="AG31" s="4">
        <v>31</v>
      </c>
      <c r="AH31" s="4">
        <v>150</v>
      </c>
      <c r="AI31" s="4">
        <f>ROUND(300*I31*(1+AE31/100+AF31/100),0)</f>
        <v>806250</v>
      </c>
      <c r="AJ31" s="4">
        <v>4.0999999999999996</v>
      </c>
      <c r="AK31" s="4">
        <v>750</v>
      </c>
      <c r="AL31" s="4" t="s">
        <v>58</v>
      </c>
      <c r="AM31" s="4" t="s">
        <v>59</v>
      </c>
    </row>
    <row r="32" spans="1:39" ht="228">
      <c r="A32" s="4" t="s">
        <v>331</v>
      </c>
      <c r="B32" s="4" t="s">
        <v>332</v>
      </c>
      <c r="C32" s="4" t="s">
        <v>72</v>
      </c>
      <c r="D32" s="4" t="s">
        <v>333</v>
      </c>
      <c r="E32" s="4" t="s">
        <v>334</v>
      </c>
      <c r="F32" s="4" t="s">
        <v>86</v>
      </c>
      <c r="G32" s="4" t="s">
        <v>335</v>
      </c>
      <c r="H32" s="4" t="s">
        <v>336</v>
      </c>
      <c r="I32" s="4">
        <v>2250</v>
      </c>
      <c r="J32" s="4">
        <v>3200</v>
      </c>
      <c r="K32" s="4">
        <v>4900</v>
      </c>
      <c r="L32" s="4">
        <v>375</v>
      </c>
      <c r="M32" s="4" t="s">
        <v>48</v>
      </c>
      <c r="N32" s="4" t="s">
        <v>40</v>
      </c>
      <c r="O32" s="4" t="s">
        <v>50</v>
      </c>
      <c r="P32" s="4">
        <v>100</v>
      </c>
      <c r="Q32" s="4" t="s">
        <v>337</v>
      </c>
      <c r="R32" s="4" t="s">
        <v>338</v>
      </c>
      <c r="S32" s="4" t="s">
        <v>50</v>
      </c>
      <c r="T32" s="4" t="s">
        <v>50</v>
      </c>
      <c r="U32" s="4" t="s">
        <v>50</v>
      </c>
      <c r="V32" s="4" t="s">
        <v>339</v>
      </c>
      <c r="W32" s="4" t="s">
        <v>54</v>
      </c>
      <c r="X32" s="4" t="s">
        <v>55</v>
      </c>
      <c r="Y32" s="4" t="s">
        <v>69</v>
      </c>
      <c r="Z32" s="4" t="s">
        <v>57</v>
      </c>
      <c r="AA32" s="4">
        <v>5</v>
      </c>
      <c r="AB32" s="4">
        <f>ROUND(I32*(1-AA32/100),-1)</f>
        <v>2140</v>
      </c>
      <c r="AC32" s="4">
        <f t="shared" si="0"/>
        <v>2250</v>
      </c>
      <c r="AD32" s="4">
        <v>20</v>
      </c>
      <c r="AE32" s="4">
        <v>15</v>
      </c>
      <c r="AF32" s="4">
        <v>7</v>
      </c>
      <c r="AG32" s="4">
        <v>40</v>
      </c>
      <c r="AH32" s="4">
        <v>125</v>
      </c>
      <c r="AI32" s="4">
        <f>ROUND(300*I32*(1+AE32/100+AF32/100),0)</f>
        <v>823500</v>
      </c>
      <c r="AJ32" s="4">
        <v>4.2</v>
      </c>
      <c r="AK32" s="4">
        <v>454</v>
      </c>
      <c r="AL32" s="4" t="s">
        <v>58</v>
      </c>
      <c r="AM32" s="4" t="s">
        <v>59</v>
      </c>
    </row>
    <row r="33" spans="1:39" ht="256.5">
      <c r="A33" s="4" t="s">
        <v>340</v>
      </c>
      <c r="B33" s="4" t="s">
        <v>341</v>
      </c>
      <c r="C33" s="4" t="s">
        <v>72</v>
      </c>
      <c r="D33" s="4" t="s">
        <v>342</v>
      </c>
      <c r="E33" s="4" t="s">
        <v>343</v>
      </c>
      <c r="F33" s="4" t="s">
        <v>163</v>
      </c>
      <c r="G33" s="4" t="s">
        <v>344</v>
      </c>
      <c r="H33" s="4" t="s">
        <v>345</v>
      </c>
      <c r="I33" s="4">
        <v>2300</v>
      </c>
      <c r="J33" s="4">
        <v>2700</v>
      </c>
      <c r="K33" s="4">
        <v>4400</v>
      </c>
      <c r="L33" s="4">
        <v>475</v>
      </c>
      <c r="M33" s="4" t="s">
        <v>40</v>
      </c>
      <c r="N33" s="4" t="s">
        <v>60</v>
      </c>
      <c r="O33" s="4" t="s">
        <v>50</v>
      </c>
      <c r="P33" s="4">
        <v>110</v>
      </c>
      <c r="Q33" s="4" t="s">
        <v>346</v>
      </c>
      <c r="R33" s="4" t="s">
        <v>347</v>
      </c>
      <c r="S33" s="4" t="s">
        <v>50</v>
      </c>
      <c r="T33" s="4" t="s">
        <v>50</v>
      </c>
      <c r="U33" s="4" t="s">
        <v>50</v>
      </c>
      <c r="V33" s="4" t="s">
        <v>168</v>
      </c>
      <c r="W33" s="4" t="s">
        <v>54</v>
      </c>
      <c r="X33" s="4" t="s">
        <v>55</v>
      </c>
      <c r="Y33" s="4" t="s">
        <v>169</v>
      </c>
      <c r="Z33" s="4" t="s">
        <v>57</v>
      </c>
      <c r="AA33" s="4">
        <v>9</v>
      </c>
      <c r="AB33" s="4">
        <f>ROUND(I33*(1-AA33/100),-1)</f>
        <v>2090</v>
      </c>
      <c r="AC33" s="4">
        <f t="shared" si="0"/>
        <v>2300</v>
      </c>
      <c r="AD33" s="4">
        <v>11</v>
      </c>
      <c r="AE33" s="4">
        <v>15</v>
      </c>
      <c r="AF33" s="4">
        <v>8</v>
      </c>
      <c r="AG33" s="4">
        <v>32</v>
      </c>
      <c r="AH33" s="4">
        <v>175</v>
      </c>
      <c r="AI33" s="4">
        <f>ROUND(300*I33*(1+AE33/100+AF33/100),0)</f>
        <v>848700</v>
      </c>
      <c r="AJ33" s="4">
        <v>4.5</v>
      </c>
      <c r="AK33" s="4">
        <v>800</v>
      </c>
      <c r="AL33" s="4" t="s">
        <v>58</v>
      </c>
      <c r="AM33" s="4" t="s">
        <v>59</v>
      </c>
    </row>
    <row r="34" spans="1:39" ht="256.5">
      <c r="A34" s="4" t="s">
        <v>348</v>
      </c>
      <c r="B34" s="4" t="s">
        <v>349</v>
      </c>
      <c r="C34" s="4" t="s">
        <v>94</v>
      </c>
      <c r="D34" s="4" t="s">
        <v>350</v>
      </c>
      <c r="E34" s="4" t="s">
        <v>351</v>
      </c>
      <c r="F34" s="4" t="s">
        <v>192</v>
      </c>
      <c r="G34" s="4" t="s">
        <v>352</v>
      </c>
      <c r="H34" s="4" t="s">
        <v>353</v>
      </c>
      <c r="I34" s="4">
        <v>2000</v>
      </c>
      <c r="J34" s="4">
        <v>2450</v>
      </c>
      <c r="K34" s="4">
        <v>3450</v>
      </c>
      <c r="L34" s="4">
        <v>450</v>
      </c>
      <c r="M34" s="4" t="s">
        <v>40</v>
      </c>
      <c r="N34" s="4" t="s">
        <v>40</v>
      </c>
      <c r="O34" s="4" t="s">
        <v>50</v>
      </c>
      <c r="P34" s="4">
        <v>120</v>
      </c>
      <c r="Q34" s="4" t="s">
        <v>354</v>
      </c>
      <c r="R34" s="4" t="s">
        <v>355</v>
      </c>
      <c r="S34" s="4" t="s">
        <v>50</v>
      </c>
      <c r="T34" s="4" t="s">
        <v>50</v>
      </c>
      <c r="U34" s="4" t="s">
        <v>50</v>
      </c>
      <c r="V34" s="4" t="s">
        <v>269</v>
      </c>
      <c r="W34" s="4" t="s">
        <v>54</v>
      </c>
      <c r="X34" s="4" t="s">
        <v>55</v>
      </c>
      <c r="Y34" s="4" t="s">
        <v>81</v>
      </c>
      <c r="Z34" s="4" t="s">
        <v>70</v>
      </c>
      <c r="AA34" s="4">
        <v>12</v>
      </c>
      <c r="AB34" s="4">
        <f>ROUND(I34*(1-AA34/100),-1)</f>
        <v>1760</v>
      </c>
      <c r="AC34" s="4">
        <f t="shared" si="0"/>
        <v>2000</v>
      </c>
      <c r="AD34" s="4">
        <v>16</v>
      </c>
      <c r="AE34" s="4">
        <v>15</v>
      </c>
      <c r="AF34" s="4">
        <v>6</v>
      </c>
      <c r="AG34" s="4">
        <v>32</v>
      </c>
      <c r="AH34" s="4">
        <v>125</v>
      </c>
      <c r="AI34" s="4">
        <f>ROUND(300*I34*(1+AE34/100+AF34/100),0)</f>
        <v>726000</v>
      </c>
      <c r="AJ34" s="4">
        <v>4.8</v>
      </c>
      <c r="AK34" s="4">
        <v>522</v>
      </c>
      <c r="AL34" s="4" t="s">
        <v>58</v>
      </c>
      <c r="AM34" s="4" t="s">
        <v>59</v>
      </c>
    </row>
    <row r="35" spans="1:39" ht="256.5">
      <c r="A35" s="4" t="s">
        <v>356</v>
      </c>
      <c r="B35" s="4" t="s">
        <v>357</v>
      </c>
      <c r="C35" s="4" t="s">
        <v>72</v>
      </c>
      <c r="D35" s="4" t="s">
        <v>358</v>
      </c>
      <c r="E35" s="4" t="s">
        <v>359</v>
      </c>
      <c r="F35" s="4" t="s">
        <v>75</v>
      </c>
      <c r="G35" s="4" t="s">
        <v>360</v>
      </c>
      <c r="H35" s="4" t="s">
        <v>361</v>
      </c>
      <c r="I35" s="4">
        <v>2550</v>
      </c>
      <c r="J35" s="4">
        <v>3000</v>
      </c>
      <c r="K35" s="4">
        <v>4550</v>
      </c>
      <c r="L35" s="4">
        <v>625</v>
      </c>
      <c r="M35" s="4" t="s">
        <v>40</v>
      </c>
      <c r="N35" s="4" t="s">
        <v>60</v>
      </c>
      <c r="O35" s="4" t="s">
        <v>50</v>
      </c>
      <c r="P35" s="4">
        <v>130</v>
      </c>
      <c r="Q35" s="4" t="s">
        <v>362</v>
      </c>
      <c r="R35" s="4" t="s">
        <v>363</v>
      </c>
      <c r="S35" s="4" t="s">
        <v>50</v>
      </c>
      <c r="T35" s="4" t="s">
        <v>50</v>
      </c>
      <c r="U35" s="4" t="s">
        <v>50</v>
      </c>
      <c r="V35" s="4" t="s">
        <v>364</v>
      </c>
      <c r="W35" s="4" t="s">
        <v>54</v>
      </c>
      <c r="X35" s="4" t="s">
        <v>55</v>
      </c>
      <c r="Y35" s="4" t="s">
        <v>81</v>
      </c>
      <c r="Z35" s="4" t="s">
        <v>57</v>
      </c>
      <c r="AA35" s="4">
        <v>10</v>
      </c>
      <c r="AB35" s="4">
        <f>ROUND(I35*(1-AA35/100),-1)</f>
        <v>2300</v>
      </c>
      <c r="AC35" s="4">
        <f t="shared" si="0"/>
        <v>2550</v>
      </c>
      <c r="AD35" s="4">
        <v>11</v>
      </c>
      <c r="AE35" s="4">
        <v>15</v>
      </c>
      <c r="AF35" s="4">
        <v>7</v>
      </c>
      <c r="AG35" s="4">
        <v>43</v>
      </c>
      <c r="AH35" s="4">
        <v>175</v>
      </c>
      <c r="AI35" s="4">
        <f>ROUND(300*I35*(1+AE35/100+AF35/100),0)</f>
        <v>933300</v>
      </c>
      <c r="AJ35" s="4">
        <v>3.9</v>
      </c>
      <c r="AK35" s="4">
        <v>820</v>
      </c>
      <c r="AL35" s="4" t="s">
        <v>58</v>
      </c>
      <c r="AM35" s="4" t="s">
        <v>59</v>
      </c>
    </row>
    <row r="36" spans="1:39" ht="256.5">
      <c r="A36" s="4" t="s">
        <v>365</v>
      </c>
      <c r="B36" s="4" t="s">
        <v>366</v>
      </c>
      <c r="C36" s="4" t="s">
        <v>72</v>
      </c>
      <c r="D36" s="4" t="s">
        <v>367</v>
      </c>
      <c r="E36" s="4" t="s">
        <v>368</v>
      </c>
      <c r="F36" s="4" t="s">
        <v>75</v>
      </c>
      <c r="G36" s="4" t="s">
        <v>369</v>
      </c>
      <c r="H36" s="4" t="s">
        <v>370</v>
      </c>
      <c r="I36" s="4">
        <v>2450</v>
      </c>
      <c r="J36" s="4">
        <v>3400</v>
      </c>
      <c r="K36" s="4">
        <v>5500</v>
      </c>
      <c r="L36" s="4">
        <v>475</v>
      </c>
      <c r="M36" s="4" t="s">
        <v>40</v>
      </c>
      <c r="N36" s="4" t="s">
        <v>60</v>
      </c>
      <c r="O36" s="4" t="s">
        <v>50</v>
      </c>
      <c r="P36" s="4">
        <v>115</v>
      </c>
      <c r="Q36" s="4" t="s">
        <v>371</v>
      </c>
      <c r="R36" s="4" t="s">
        <v>372</v>
      </c>
      <c r="S36" s="4" t="s">
        <v>50</v>
      </c>
      <c r="T36" s="4" t="s">
        <v>50</v>
      </c>
      <c r="U36" s="4" t="s">
        <v>50</v>
      </c>
      <c r="V36" s="4" t="s">
        <v>373</v>
      </c>
      <c r="W36" s="4" t="s">
        <v>54</v>
      </c>
      <c r="X36" s="4" t="s">
        <v>55</v>
      </c>
      <c r="Y36" s="4" t="s">
        <v>81</v>
      </c>
      <c r="Z36" s="4" t="s">
        <v>57</v>
      </c>
      <c r="AA36" s="4">
        <v>10</v>
      </c>
      <c r="AB36" s="4">
        <f>ROUND(I36*(1-AA36/100),-1)</f>
        <v>2210</v>
      </c>
      <c r="AC36" s="4">
        <f t="shared" si="0"/>
        <v>2450</v>
      </c>
      <c r="AD36" s="4">
        <v>16</v>
      </c>
      <c r="AE36" s="4">
        <v>15</v>
      </c>
      <c r="AF36" s="4">
        <v>7</v>
      </c>
      <c r="AG36" s="4">
        <v>39</v>
      </c>
      <c r="AH36" s="4">
        <v>150</v>
      </c>
      <c r="AI36" s="4">
        <f>ROUND(300*I36*(1+AE36/100+AF36/100),0)</f>
        <v>896700</v>
      </c>
      <c r="AJ36" s="4">
        <v>4.8</v>
      </c>
      <c r="AK36" s="4">
        <v>435</v>
      </c>
      <c r="AL36" s="4" t="s">
        <v>58</v>
      </c>
      <c r="AM36" s="4" t="s">
        <v>59</v>
      </c>
    </row>
    <row r="37" spans="1:39" ht="256.5">
      <c r="A37" s="4" t="s">
        <v>374</v>
      </c>
      <c r="B37" s="4" t="s">
        <v>375</v>
      </c>
      <c r="C37" s="4" t="s">
        <v>72</v>
      </c>
      <c r="D37" s="4" t="s">
        <v>376</v>
      </c>
      <c r="E37" s="4" t="s">
        <v>377</v>
      </c>
      <c r="F37" s="4" t="s">
        <v>255</v>
      </c>
      <c r="G37" s="4" t="s">
        <v>378</v>
      </c>
      <c r="H37" s="4" t="s">
        <v>379</v>
      </c>
      <c r="I37" s="4">
        <v>2700</v>
      </c>
      <c r="J37" s="4">
        <v>3250</v>
      </c>
      <c r="K37" s="4">
        <v>5100</v>
      </c>
      <c r="L37" s="4">
        <v>1000</v>
      </c>
      <c r="M37" s="4" t="s">
        <v>40</v>
      </c>
      <c r="N37" s="4" t="s">
        <v>60</v>
      </c>
      <c r="O37" s="4" t="s">
        <v>50</v>
      </c>
      <c r="P37" s="4">
        <v>250</v>
      </c>
      <c r="Q37" s="4" t="s">
        <v>380</v>
      </c>
      <c r="R37" s="4" t="s">
        <v>381</v>
      </c>
      <c r="S37" s="4" t="s">
        <v>50</v>
      </c>
      <c r="T37" s="4" t="s">
        <v>50</v>
      </c>
      <c r="U37" s="4" t="s">
        <v>50</v>
      </c>
      <c r="V37" s="4" t="s">
        <v>382</v>
      </c>
      <c r="W37" s="4" t="s">
        <v>54</v>
      </c>
      <c r="X37" s="4" t="s">
        <v>55</v>
      </c>
      <c r="Y37" s="4" t="s">
        <v>81</v>
      </c>
      <c r="Z37" s="4" t="s">
        <v>57</v>
      </c>
      <c r="AA37" s="4">
        <v>7</v>
      </c>
      <c r="AB37" s="4">
        <f>ROUND(I37*(1-AA37/100),-1)</f>
        <v>2510</v>
      </c>
      <c r="AC37" s="4">
        <f t="shared" si="0"/>
        <v>2700</v>
      </c>
      <c r="AD37" s="4">
        <v>10</v>
      </c>
      <c r="AE37" s="4">
        <v>15</v>
      </c>
      <c r="AF37" s="4">
        <v>10</v>
      </c>
      <c r="AG37" s="4">
        <v>41</v>
      </c>
      <c r="AH37" s="4">
        <v>325</v>
      </c>
      <c r="AI37" s="4">
        <f>ROUND(300*I37*(1+AE37/100+AF37/100),0)</f>
        <v>1012500</v>
      </c>
      <c r="AJ37" s="4">
        <v>4.2</v>
      </c>
      <c r="AK37" s="4">
        <v>96</v>
      </c>
      <c r="AL37" s="4" t="s">
        <v>58</v>
      </c>
      <c r="AM37" s="4" t="s">
        <v>59</v>
      </c>
    </row>
    <row r="38" spans="1:39" ht="228">
      <c r="A38" s="4" t="s">
        <v>383</v>
      </c>
      <c r="B38" s="4" t="s">
        <v>384</v>
      </c>
      <c r="C38" s="4" t="s">
        <v>72</v>
      </c>
      <c r="D38" s="4" t="s">
        <v>385</v>
      </c>
      <c r="E38" s="4" t="s">
        <v>386</v>
      </c>
      <c r="F38" s="4" t="s">
        <v>163</v>
      </c>
      <c r="G38" s="4" t="s">
        <v>387</v>
      </c>
      <c r="H38" s="4" t="s">
        <v>388</v>
      </c>
      <c r="I38" s="4">
        <v>2500</v>
      </c>
      <c r="J38" s="4">
        <v>3450</v>
      </c>
      <c r="K38" s="4">
        <v>4600</v>
      </c>
      <c r="L38" s="4">
        <v>1000</v>
      </c>
      <c r="M38" s="4" t="s">
        <v>48</v>
      </c>
      <c r="N38" s="4" t="s">
        <v>49</v>
      </c>
      <c r="O38" s="4" t="s">
        <v>50</v>
      </c>
      <c r="P38" s="4">
        <v>250</v>
      </c>
      <c r="Q38" s="4" t="s">
        <v>389</v>
      </c>
      <c r="R38" s="4" t="s">
        <v>390</v>
      </c>
      <c r="S38" s="4" t="s">
        <v>50</v>
      </c>
      <c r="T38" s="4" t="s">
        <v>50</v>
      </c>
      <c r="U38" s="4" t="s">
        <v>50</v>
      </c>
      <c r="V38" s="4" t="s">
        <v>391</v>
      </c>
      <c r="W38" s="4" t="s">
        <v>54</v>
      </c>
      <c r="X38" s="4" t="s">
        <v>55</v>
      </c>
      <c r="Y38" s="4" t="s">
        <v>169</v>
      </c>
      <c r="Z38" s="4" t="s">
        <v>57</v>
      </c>
      <c r="AA38" s="4">
        <v>5</v>
      </c>
      <c r="AB38" s="4">
        <f>ROUND(I38*(1-AA38/100),-1)</f>
        <v>2380</v>
      </c>
      <c r="AC38" s="4">
        <f t="shared" si="0"/>
        <v>2500</v>
      </c>
      <c r="AD38" s="4">
        <v>15</v>
      </c>
      <c r="AE38" s="4">
        <v>15</v>
      </c>
      <c r="AF38" s="4">
        <v>7</v>
      </c>
      <c r="AG38" s="4">
        <v>50</v>
      </c>
      <c r="AH38" s="4">
        <v>350</v>
      </c>
      <c r="AI38" s="4">
        <f>ROUND(300*I38*(1+AE38/100+AF38/100),0)</f>
        <v>915000</v>
      </c>
      <c r="AJ38" s="4">
        <v>4.8</v>
      </c>
      <c r="AK38" s="4">
        <v>361</v>
      </c>
      <c r="AL38" s="4" t="s">
        <v>58</v>
      </c>
      <c r="AM38" s="4" t="s">
        <v>59</v>
      </c>
    </row>
    <row r="39" spans="1:39" ht="256.5">
      <c r="A39" s="4" t="s">
        <v>392</v>
      </c>
      <c r="B39" s="4" t="s">
        <v>393</v>
      </c>
      <c r="C39" s="4" t="s">
        <v>72</v>
      </c>
      <c r="D39" s="4" t="s">
        <v>394</v>
      </c>
      <c r="E39" s="4" t="s">
        <v>395</v>
      </c>
      <c r="F39" s="4" t="s">
        <v>255</v>
      </c>
      <c r="G39" s="4" t="s">
        <v>396</v>
      </c>
      <c r="H39" s="4" t="s">
        <v>397</v>
      </c>
      <c r="I39" s="4">
        <v>2450</v>
      </c>
      <c r="J39" s="4">
        <v>3250</v>
      </c>
      <c r="K39" s="4">
        <v>5250</v>
      </c>
      <c r="L39" s="4">
        <v>475</v>
      </c>
      <c r="M39" s="4" t="s">
        <v>40</v>
      </c>
      <c r="N39" s="4" t="s">
        <v>40</v>
      </c>
      <c r="O39" s="4" t="s">
        <v>50</v>
      </c>
      <c r="P39" s="4">
        <v>125</v>
      </c>
      <c r="Q39" s="4" t="s">
        <v>398</v>
      </c>
      <c r="R39" s="4" t="s">
        <v>399</v>
      </c>
      <c r="S39" s="4" t="s">
        <v>50</v>
      </c>
      <c r="T39" s="4" t="s">
        <v>50</v>
      </c>
      <c r="U39" s="4" t="s">
        <v>50</v>
      </c>
      <c r="V39" s="4" t="s">
        <v>400</v>
      </c>
      <c r="W39" s="4" t="s">
        <v>54</v>
      </c>
      <c r="X39" s="4" t="s">
        <v>55</v>
      </c>
      <c r="Y39" s="4" t="s">
        <v>81</v>
      </c>
      <c r="Z39" s="4" t="s">
        <v>57</v>
      </c>
      <c r="AA39" s="4">
        <v>5</v>
      </c>
      <c r="AB39" s="4">
        <f>ROUND(I39*(1-AA39/100),-1)</f>
        <v>2330</v>
      </c>
      <c r="AC39" s="4">
        <f t="shared" si="0"/>
        <v>2450</v>
      </c>
      <c r="AD39" s="4">
        <v>12</v>
      </c>
      <c r="AE39" s="4">
        <v>15</v>
      </c>
      <c r="AF39" s="4">
        <v>6</v>
      </c>
      <c r="AG39" s="4">
        <v>34</v>
      </c>
      <c r="AH39" s="4">
        <v>150</v>
      </c>
      <c r="AI39" s="4">
        <f>ROUND(300*I39*(1+AE39/100+AF39/100),0)</f>
        <v>889350</v>
      </c>
      <c r="AJ39" s="4">
        <v>4.5999999999999996</v>
      </c>
      <c r="AK39" s="4">
        <v>373</v>
      </c>
      <c r="AL39" s="4" t="s">
        <v>58</v>
      </c>
      <c r="AM39" s="4" t="s">
        <v>59</v>
      </c>
    </row>
    <row r="40" spans="1:39" ht="228">
      <c r="A40" s="4" t="s">
        <v>401</v>
      </c>
      <c r="B40" s="4" t="s">
        <v>402</v>
      </c>
      <c r="C40" s="4" t="s">
        <v>72</v>
      </c>
      <c r="D40" s="4" t="s">
        <v>403</v>
      </c>
      <c r="E40" s="4" t="s">
        <v>404</v>
      </c>
      <c r="F40" s="4" t="s">
        <v>153</v>
      </c>
      <c r="G40" s="4" t="s">
        <v>405</v>
      </c>
      <c r="H40" s="4" t="s">
        <v>406</v>
      </c>
      <c r="I40" s="4">
        <v>2350</v>
      </c>
      <c r="J40" s="4">
        <v>3150</v>
      </c>
      <c r="K40" s="4">
        <v>5150</v>
      </c>
      <c r="L40" s="4">
        <v>475</v>
      </c>
      <c r="M40" s="4" t="s">
        <v>48</v>
      </c>
      <c r="N40" s="4" t="s">
        <v>40</v>
      </c>
      <c r="O40" s="4" t="s">
        <v>50</v>
      </c>
      <c r="P40" s="4">
        <v>125</v>
      </c>
      <c r="Q40" s="4" t="s">
        <v>407</v>
      </c>
      <c r="R40" s="4" t="s">
        <v>408</v>
      </c>
      <c r="S40" s="4" t="s">
        <v>50</v>
      </c>
      <c r="T40" s="4" t="s">
        <v>50</v>
      </c>
      <c r="U40" s="4" t="s">
        <v>50</v>
      </c>
      <c r="V40" s="4" t="s">
        <v>215</v>
      </c>
      <c r="W40" s="4" t="s">
        <v>54</v>
      </c>
      <c r="X40" s="4" t="s">
        <v>55</v>
      </c>
      <c r="Y40" s="4" t="s">
        <v>69</v>
      </c>
      <c r="Z40" s="4" t="s">
        <v>57</v>
      </c>
      <c r="AA40" s="4">
        <v>8</v>
      </c>
      <c r="AB40" s="4">
        <f>ROUND(I40*(1-AA40/100),-1)</f>
        <v>2160</v>
      </c>
      <c r="AC40" s="4">
        <f t="shared" si="0"/>
        <v>2350</v>
      </c>
      <c r="AD40" s="4">
        <v>14</v>
      </c>
      <c r="AE40" s="4">
        <v>15</v>
      </c>
      <c r="AF40" s="4">
        <v>6</v>
      </c>
      <c r="AG40" s="4">
        <v>34</v>
      </c>
      <c r="AH40" s="4">
        <v>125</v>
      </c>
      <c r="AI40" s="4">
        <f>ROUND(300*I40*(1+AE40/100+AF40/100),0)</f>
        <v>853050</v>
      </c>
      <c r="AJ40" s="4">
        <v>4.4000000000000004</v>
      </c>
      <c r="AK40" s="4">
        <v>148</v>
      </c>
      <c r="AL40" s="4" t="s">
        <v>58</v>
      </c>
      <c r="AM40" s="4" t="s">
        <v>59</v>
      </c>
    </row>
    <row r="41" spans="1:39" ht="213.75">
      <c r="A41" s="4" t="s">
        <v>409</v>
      </c>
      <c r="B41" s="4" t="s">
        <v>410</v>
      </c>
      <c r="C41" s="4" t="s">
        <v>72</v>
      </c>
      <c r="D41" s="4" t="s">
        <v>411</v>
      </c>
      <c r="E41" s="4" t="s">
        <v>412</v>
      </c>
      <c r="F41" s="4" t="s">
        <v>75</v>
      </c>
      <c r="G41" s="4" t="s">
        <v>413</v>
      </c>
      <c r="H41" s="4" t="s">
        <v>414</v>
      </c>
      <c r="I41" s="4">
        <v>2550</v>
      </c>
      <c r="J41" s="4">
        <v>3500</v>
      </c>
      <c r="K41" s="4">
        <v>4750</v>
      </c>
      <c r="L41" s="4">
        <v>500</v>
      </c>
      <c r="M41" s="4" t="s">
        <v>48</v>
      </c>
      <c r="N41" s="4" t="s">
        <v>40</v>
      </c>
      <c r="O41" s="4" t="s">
        <v>50</v>
      </c>
      <c r="P41" s="4">
        <v>85</v>
      </c>
      <c r="Q41" s="4" t="s">
        <v>415</v>
      </c>
      <c r="R41" s="4" t="s">
        <v>416</v>
      </c>
      <c r="S41" s="4" t="s">
        <v>50</v>
      </c>
      <c r="T41" s="4" t="s">
        <v>50</v>
      </c>
      <c r="U41" s="4" t="s">
        <v>50</v>
      </c>
      <c r="V41" s="4" t="s">
        <v>206</v>
      </c>
      <c r="W41" s="4" t="s">
        <v>54</v>
      </c>
      <c r="X41" s="4" t="s">
        <v>55</v>
      </c>
      <c r="Y41" s="4" t="s">
        <v>69</v>
      </c>
      <c r="Z41" s="4" t="s">
        <v>57</v>
      </c>
      <c r="AA41" s="4">
        <v>12</v>
      </c>
      <c r="AB41" s="4">
        <f>ROUND(I41*(1-AA41/100),-1)</f>
        <v>2240</v>
      </c>
      <c r="AC41" s="4">
        <f t="shared" si="0"/>
        <v>2550</v>
      </c>
      <c r="AD41" s="4">
        <v>22</v>
      </c>
      <c r="AE41" s="4">
        <v>15</v>
      </c>
      <c r="AF41" s="4">
        <v>5</v>
      </c>
      <c r="AG41" s="4">
        <v>30</v>
      </c>
      <c r="AH41" s="4">
        <v>150</v>
      </c>
      <c r="AI41" s="4">
        <f>ROUND(300*I41*(1+AE41/100+AF41/100),0)</f>
        <v>918000</v>
      </c>
      <c r="AJ41" s="4">
        <v>4.5999999999999996</v>
      </c>
      <c r="AK41" s="4">
        <v>712</v>
      </c>
      <c r="AL41" s="4" t="s">
        <v>58</v>
      </c>
      <c r="AM41" s="4" t="s">
        <v>59</v>
      </c>
    </row>
    <row r="42" spans="1:39" ht="228">
      <c r="A42" s="4" t="s">
        <v>417</v>
      </c>
      <c r="B42" s="4" t="s">
        <v>418</v>
      </c>
      <c r="C42" s="4" t="s">
        <v>72</v>
      </c>
      <c r="D42" s="4" t="s">
        <v>419</v>
      </c>
      <c r="E42" s="4" t="s">
        <v>420</v>
      </c>
      <c r="F42" s="4" t="s">
        <v>75</v>
      </c>
      <c r="G42" s="4" t="s">
        <v>421</v>
      </c>
      <c r="H42" s="4" t="s">
        <v>422</v>
      </c>
      <c r="I42" s="4">
        <v>2500</v>
      </c>
      <c r="J42" s="4">
        <v>3400</v>
      </c>
      <c r="K42" s="4">
        <v>5350</v>
      </c>
      <c r="L42" s="4">
        <v>500</v>
      </c>
      <c r="M42" s="4" t="s">
        <v>48</v>
      </c>
      <c r="N42" s="4" t="s">
        <v>40</v>
      </c>
      <c r="O42" s="4" t="s">
        <v>50</v>
      </c>
      <c r="P42" s="4">
        <v>125</v>
      </c>
      <c r="Q42" s="4" t="s">
        <v>423</v>
      </c>
      <c r="R42" s="4" t="s">
        <v>424</v>
      </c>
      <c r="S42" s="4" t="s">
        <v>50</v>
      </c>
      <c r="T42" s="4" t="s">
        <v>50</v>
      </c>
      <c r="U42" s="4" t="s">
        <v>50</v>
      </c>
      <c r="V42" s="4" t="s">
        <v>206</v>
      </c>
      <c r="W42" s="4" t="s">
        <v>54</v>
      </c>
      <c r="X42" s="4" t="s">
        <v>55</v>
      </c>
      <c r="Y42" s="4" t="s">
        <v>69</v>
      </c>
      <c r="Z42" s="4" t="s">
        <v>57</v>
      </c>
      <c r="AA42" s="4">
        <v>8</v>
      </c>
      <c r="AB42" s="4">
        <f>ROUND(I42*(1-AA42/100),-1)</f>
        <v>2300</v>
      </c>
      <c r="AC42" s="4">
        <f t="shared" si="0"/>
        <v>2500</v>
      </c>
      <c r="AD42" s="4">
        <v>20</v>
      </c>
      <c r="AE42" s="4">
        <v>15</v>
      </c>
      <c r="AF42" s="4">
        <v>9</v>
      </c>
      <c r="AG42" s="4">
        <v>33</v>
      </c>
      <c r="AH42" s="4">
        <v>175</v>
      </c>
      <c r="AI42" s="4">
        <f>ROUND(300*I42*(1+AE42/100+AF42/100),0)</f>
        <v>930000</v>
      </c>
      <c r="AJ42" s="4">
        <v>4.2</v>
      </c>
      <c r="AK42" s="4">
        <v>237</v>
      </c>
      <c r="AL42" s="4" t="s">
        <v>58</v>
      </c>
      <c r="AM42" s="4" t="s">
        <v>59</v>
      </c>
    </row>
    <row r="43" spans="1:39" ht="213.75">
      <c r="A43" s="4" t="s">
        <v>425</v>
      </c>
      <c r="B43" s="4" t="s">
        <v>426</v>
      </c>
      <c r="C43" s="4" t="s">
        <v>72</v>
      </c>
      <c r="D43" s="4" t="s">
        <v>427</v>
      </c>
      <c r="E43" s="4" t="s">
        <v>428</v>
      </c>
      <c r="F43" s="4" t="s">
        <v>75</v>
      </c>
      <c r="G43" s="4" t="s">
        <v>429</v>
      </c>
      <c r="H43" s="4" t="s">
        <v>430</v>
      </c>
      <c r="I43" s="4">
        <v>2550</v>
      </c>
      <c r="J43" s="4">
        <v>3300</v>
      </c>
      <c r="K43" s="4">
        <v>4650</v>
      </c>
      <c r="L43" s="4">
        <v>500</v>
      </c>
      <c r="M43" s="4" t="s">
        <v>48</v>
      </c>
      <c r="N43" s="4" t="s">
        <v>60</v>
      </c>
      <c r="O43" s="4" t="s">
        <v>50</v>
      </c>
      <c r="P43" s="4">
        <v>90</v>
      </c>
      <c r="Q43" s="4" t="s">
        <v>431</v>
      </c>
      <c r="R43" s="4" t="s">
        <v>432</v>
      </c>
      <c r="S43" s="4" t="s">
        <v>50</v>
      </c>
      <c r="T43" s="4" t="s">
        <v>50</v>
      </c>
      <c r="U43" s="4" t="s">
        <v>50</v>
      </c>
      <c r="V43" s="4" t="s">
        <v>322</v>
      </c>
      <c r="W43" s="4" t="s">
        <v>54</v>
      </c>
      <c r="X43" s="4" t="s">
        <v>55</v>
      </c>
      <c r="Y43" s="4" t="s">
        <v>56</v>
      </c>
      <c r="Z43" s="4" t="s">
        <v>57</v>
      </c>
      <c r="AA43" s="4">
        <v>8</v>
      </c>
      <c r="AB43" s="4">
        <f>ROUND(I43*(1-AA43/100),-1)</f>
        <v>2350</v>
      </c>
      <c r="AC43" s="4">
        <f t="shared" si="0"/>
        <v>2550</v>
      </c>
      <c r="AD43" s="4">
        <v>22</v>
      </c>
      <c r="AE43" s="4">
        <v>15</v>
      </c>
      <c r="AF43" s="4">
        <v>10</v>
      </c>
      <c r="AG43" s="4">
        <v>42</v>
      </c>
      <c r="AH43" s="4">
        <v>150</v>
      </c>
      <c r="AI43" s="4">
        <f>ROUND(300*I43*(1+AE43/100+AF43/100),0)</f>
        <v>956250</v>
      </c>
      <c r="AJ43" s="4">
        <v>4.7</v>
      </c>
      <c r="AK43" s="4">
        <v>426</v>
      </c>
      <c r="AL43" s="4" t="s">
        <v>58</v>
      </c>
      <c r="AM43" s="4" t="s">
        <v>59</v>
      </c>
    </row>
    <row r="44" spans="1:39" ht="256.5">
      <c r="A44" s="4" t="s">
        <v>433</v>
      </c>
      <c r="B44" s="4" t="s">
        <v>434</v>
      </c>
      <c r="C44" s="4" t="s">
        <v>72</v>
      </c>
      <c r="D44" s="4" t="s">
        <v>435</v>
      </c>
      <c r="E44" s="4" t="s">
        <v>436</v>
      </c>
      <c r="F44" s="4" t="s">
        <v>163</v>
      </c>
      <c r="G44" s="4" t="s">
        <v>437</v>
      </c>
      <c r="H44" s="4" t="s">
        <v>438</v>
      </c>
      <c r="I44" s="4">
        <v>2350</v>
      </c>
      <c r="J44" s="4">
        <v>3300</v>
      </c>
      <c r="K44" s="4">
        <v>4650</v>
      </c>
      <c r="L44" s="4">
        <v>500</v>
      </c>
      <c r="M44" s="4" t="s">
        <v>40</v>
      </c>
      <c r="N44" s="4" t="s">
        <v>60</v>
      </c>
      <c r="O44" s="4" t="s">
        <v>50</v>
      </c>
      <c r="P44" s="4">
        <v>130</v>
      </c>
      <c r="Q44" s="4" t="s">
        <v>439</v>
      </c>
      <c r="R44" s="4" t="s">
        <v>440</v>
      </c>
      <c r="S44" s="4" t="s">
        <v>50</v>
      </c>
      <c r="T44" s="4" t="s">
        <v>50</v>
      </c>
      <c r="U44" s="4" t="s">
        <v>50</v>
      </c>
      <c r="V44" s="4" t="s">
        <v>168</v>
      </c>
      <c r="W44" s="4" t="s">
        <v>54</v>
      </c>
      <c r="X44" s="4" t="s">
        <v>55</v>
      </c>
      <c r="Y44" s="4" t="s">
        <v>169</v>
      </c>
      <c r="Z44" s="4" t="s">
        <v>57</v>
      </c>
      <c r="AA44" s="4">
        <v>10</v>
      </c>
      <c r="AB44" s="4">
        <f>ROUND(I44*(1-AA44/100),-1)</f>
        <v>2120</v>
      </c>
      <c r="AC44" s="4">
        <f t="shared" si="0"/>
        <v>2350</v>
      </c>
      <c r="AD44" s="4">
        <v>15</v>
      </c>
      <c r="AE44" s="4">
        <v>15</v>
      </c>
      <c r="AF44" s="4">
        <v>6</v>
      </c>
      <c r="AG44" s="4">
        <v>31</v>
      </c>
      <c r="AH44" s="4">
        <v>150</v>
      </c>
      <c r="AI44" s="4">
        <f>ROUND(300*I44*(1+AE44/100+AF44/100),0)</f>
        <v>853050</v>
      </c>
      <c r="AJ44" s="4">
        <v>4.9000000000000004</v>
      </c>
      <c r="AK44" s="4">
        <v>423</v>
      </c>
      <c r="AL44" s="4" t="s">
        <v>58</v>
      </c>
      <c r="AM44" s="4" t="s">
        <v>59</v>
      </c>
    </row>
    <row r="45" spans="1:39" ht="228">
      <c r="A45" s="4" t="s">
        <v>441</v>
      </c>
      <c r="B45" s="4" t="s">
        <v>442</v>
      </c>
      <c r="C45" s="4" t="s">
        <v>72</v>
      </c>
      <c r="D45" s="4" t="s">
        <v>443</v>
      </c>
      <c r="E45" s="4" t="s">
        <v>444</v>
      </c>
      <c r="F45" s="4" t="s">
        <v>445</v>
      </c>
      <c r="G45" s="4" t="s">
        <v>446</v>
      </c>
      <c r="H45" s="4" t="s">
        <v>447</v>
      </c>
      <c r="I45" s="4">
        <v>2400</v>
      </c>
      <c r="J45" s="4">
        <v>3150</v>
      </c>
      <c r="K45" s="4">
        <v>5200</v>
      </c>
      <c r="L45" s="4">
        <v>525</v>
      </c>
      <c r="M45" s="4" t="s">
        <v>48</v>
      </c>
      <c r="N45" s="4" t="s">
        <v>40</v>
      </c>
      <c r="O45" s="4" t="s">
        <v>50</v>
      </c>
      <c r="P45" s="4">
        <v>125</v>
      </c>
      <c r="Q45" s="4" t="s">
        <v>448</v>
      </c>
      <c r="R45" s="4" t="s">
        <v>449</v>
      </c>
      <c r="S45" s="4" t="s">
        <v>50</v>
      </c>
      <c r="T45" s="4" t="s">
        <v>50</v>
      </c>
      <c r="U45" s="4" t="s">
        <v>50</v>
      </c>
      <c r="V45" s="4" t="s">
        <v>450</v>
      </c>
      <c r="W45" s="4" t="s">
        <v>54</v>
      </c>
      <c r="X45" s="4" t="s">
        <v>55</v>
      </c>
      <c r="Y45" s="4" t="s">
        <v>69</v>
      </c>
      <c r="Z45" s="4" t="s">
        <v>57</v>
      </c>
      <c r="AA45" s="4">
        <v>10</v>
      </c>
      <c r="AB45" s="4">
        <f>ROUND(I45*(1-AA45/100),-1)</f>
        <v>2160</v>
      </c>
      <c r="AC45" s="4">
        <f t="shared" si="0"/>
        <v>2400</v>
      </c>
      <c r="AD45" s="4">
        <v>11</v>
      </c>
      <c r="AE45" s="4">
        <v>15</v>
      </c>
      <c r="AF45" s="4">
        <v>9</v>
      </c>
      <c r="AG45" s="4">
        <v>33</v>
      </c>
      <c r="AH45" s="4">
        <v>200</v>
      </c>
      <c r="AI45" s="4">
        <f>ROUND(300*I45*(1+AE45/100+AF45/100),0)</f>
        <v>892800</v>
      </c>
      <c r="AJ45" s="4">
        <v>4.4000000000000004</v>
      </c>
      <c r="AK45" s="4">
        <v>715</v>
      </c>
      <c r="AL45" s="4" t="s">
        <v>58</v>
      </c>
      <c r="AM45" s="4" t="s">
        <v>59</v>
      </c>
    </row>
    <row r="46" spans="1:39" ht="213.75">
      <c r="A46" s="4" t="s">
        <v>451</v>
      </c>
      <c r="B46" s="4" t="s">
        <v>452</v>
      </c>
      <c r="C46" s="4" t="s">
        <v>72</v>
      </c>
      <c r="D46" s="4" t="s">
        <v>453</v>
      </c>
      <c r="E46" s="4" t="s">
        <v>454</v>
      </c>
      <c r="F46" s="4" t="s">
        <v>163</v>
      </c>
      <c r="G46" s="4" t="s">
        <v>455</v>
      </c>
      <c r="H46" s="4" t="s">
        <v>456</v>
      </c>
      <c r="I46" s="4">
        <v>2300</v>
      </c>
      <c r="J46" s="4">
        <v>2800</v>
      </c>
      <c r="K46" s="4">
        <v>4400</v>
      </c>
      <c r="L46" s="4">
        <v>250</v>
      </c>
      <c r="M46" s="4" t="s">
        <v>48</v>
      </c>
      <c r="N46" s="4" t="s">
        <v>40</v>
      </c>
      <c r="O46" s="4" t="s">
        <v>50</v>
      </c>
      <c r="P46" s="4">
        <v>55</v>
      </c>
      <c r="Q46" s="4" t="s">
        <v>346</v>
      </c>
      <c r="R46" s="4" t="s">
        <v>457</v>
      </c>
      <c r="S46" s="4" t="s">
        <v>50</v>
      </c>
      <c r="T46" s="4" t="s">
        <v>50</v>
      </c>
      <c r="U46" s="4" t="s">
        <v>50</v>
      </c>
      <c r="V46" s="4" t="s">
        <v>296</v>
      </c>
      <c r="W46" s="4" t="s">
        <v>54</v>
      </c>
      <c r="X46" s="4" t="s">
        <v>55</v>
      </c>
      <c r="Y46" s="4" t="s">
        <v>169</v>
      </c>
      <c r="Z46" s="4" t="s">
        <v>57</v>
      </c>
      <c r="AA46" s="4">
        <v>10</v>
      </c>
      <c r="AB46" s="4">
        <f>ROUND(I46*(1-AA46/100),-1)</f>
        <v>2070</v>
      </c>
      <c r="AC46" s="4">
        <f t="shared" si="0"/>
        <v>2300</v>
      </c>
      <c r="AD46" s="4">
        <v>12</v>
      </c>
      <c r="AE46" s="4">
        <v>15</v>
      </c>
      <c r="AF46" s="4">
        <v>7</v>
      </c>
      <c r="AG46" s="4">
        <v>44</v>
      </c>
      <c r="AH46" s="4">
        <v>100</v>
      </c>
      <c r="AI46" s="4">
        <f>ROUND(300*I46*(1+AE46/100+AF46/100),0)</f>
        <v>841800</v>
      </c>
      <c r="AJ46" s="4">
        <v>4.5</v>
      </c>
      <c r="AK46" s="4">
        <v>402</v>
      </c>
      <c r="AL46" s="4" t="s">
        <v>58</v>
      </c>
      <c r="AM46" s="4" t="s">
        <v>59</v>
      </c>
    </row>
    <row r="47" spans="1:39" ht="256.5">
      <c r="A47" s="4" t="s">
        <v>458</v>
      </c>
      <c r="B47" s="4" t="s">
        <v>459</v>
      </c>
      <c r="C47" s="4" t="s">
        <v>72</v>
      </c>
      <c r="D47" s="4" t="s">
        <v>460</v>
      </c>
      <c r="E47" s="4" t="s">
        <v>461</v>
      </c>
      <c r="F47" s="4" t="s">
        <v>75</v>
      </c>
      <c r="G47" s="4" t="s">
        <v>462</v>
      </c>
      <c r="H47" s="4" t="s">
        <v>463</v>
      </c>
      <c r="I47" s="4">
        <v>2450</v>
      </c>
      <c r="J47" s="4">
        <v>2900</v>
      </c>
      <c r="K47" s="4">
        <v>4850</v>
      </c>
      <c r="L47" s="4">
        <v>475</v>
      </c>
      <c r="M47" s="4" t="s">
        <v>40</v>
      </c>
      <c r="N47" s="4" t="s">
        <v>40</v>
      </c>
      <c r="O47" s="4" t="s">
        <v>50</v>
      </c>
      <c r="P47" s="4">
        <v>125</v>
      </c>
      <c r="Q47" s="4" t="s">
        <v>464</v>
      </c>
      <c r="R47" s="4" t="s">
        <v>465</v>
      </c>
      <c r="S47" s="4" t="s">
        <v>50</v>
      </c>
      <c r="T47" s="4" t="s">
        <v>50</v>
      </c>
      <c r="U47" s="4" t="s">
        <v>50</v>
      </c>
      <c r="V47" s="4" t="s">
        <v>364</v>
      </c>
      <c r="W47" s="4" t="s">
        <v>54</v>
      </c>
      <c r="X47" s="4" t="s">
        <v>55</v>
      </c>
      <c r="Y47" s="4" t="s">
        <v>81</v>
      </c>
      <c r="Z47" s="4" t="s">
        <v>57</v>
      </c>
      <c r="AA47" s="4">
        <v>8</v>
      </c>
      <c r="AB47" s="4">
        <f>ROUND(I47*(1-AA47/100),-1)</f>
        <v>2250</v>
      </c>
      <c r="AC47" s="4">
        <f t="shared" si="0"/>
        <v>2450</v>
      </c>
      <c r="AD47" s="4">
        <v>15</v>
      </c>
      <c r="AE47" s="4">
        <v>15</v>
      </c>
      <c r="AF47" s="4">
        <v>5</v>
      </c>
      <c r="AG47" s="4">
        <v>42</v>
      </c>
      <c r="AH47" s="4">
        <v>150</v>
      </c>
      <c r="AI47" s="4">
        <f>ROUND(300*I47*(1+AE47/100+AF47/100),0)</f>
        <v>882000</v>
      </c>
      <c r="AJ47" s="4">
        <v>4.4000000000000004</v>
      </c>
      <c r="AK47" s="4">
        <v>243</v>
      </c>
      <c r="AL47" s="4" t="s">
        <v>111</v>
      </c>
      <c r="AM47" s="4" t="s">
        <v>59</v>
      </c>
    </row>
    <row r="48" spans="1:39" ht="228">
      <c r="A48" s="4" t="s">
        <v>466</v>
      </c>
      <c r="B48" s="4" t="s">
        <v>467</v>
      </c>
      <c r="C48" s="4" t="s">
        <v>94</v>
      </c>
      <c r="D48" s="4" t="s">
        <v>468</v>
      </c>
      <c r="E48" s="4" t="s">
        <v>469</v>
      </c>
      <c r="F48" s="4" t="s">
        <v>75</v>
      </c>
      <c r="G48" s="4" t="s">
        <v>470</v>
      </c>
      <c r="H48" s="4" t="s">
        <v>471</v>
      </c>
      <c r="I48" s="4">
        <v>2100</v>
      </c>
      <c r="J48" s="4">
        <v>2950</v>
      </c>
      <c r="K48" s="4">
        <v>4900</v>
      </c>
      <c r="L48" s="4">
        <v>475</v>
      </c>
      <c r="M48" s="4" t="s">
        <v>48</v>
      </c>
      <c r="N48" s="4" t="s">
        <v>60</v>
      </c>
      <c r="O48" s="4" t="s">
        <v>50</v>
      </c>
      <c r="P48" s="4">
        <v>110</v>
      </c>
      <c r="Q48" s="4" t="s">
        <v>472</v>
      </c>
      <c r="R48" s="4" t="s">
        <v>473</v>
      </c>
      <c r="S48" s="4" t="s">
        <v>50</v>
      </c>
      <c r="T48" s="4" t="s">
        <v>50</v>
      </c>
      <c r="U48" s="4" t="s">
        <v>50</v>
      </c>
      <c r="V48" s="4" t="s">
        <v>224</v>
      </c>
      <c r="W48" s="4" t="s">
        <v>54</v>
      </c>
      <c r="X48" s="4" t="s">
        <v>55</v>
      </c>
      <c r="Y48" s="4" t="s">
        <v>56</v>
      </c>
      <c r="Z48" s="4" t="s">
        <v>70</v>
      </c>
      <c r="AA48" s="4">
        <v>11</v>
      </c>
      <c r="AB48" s="4">
        <f>ROUND(I48*(1-AA48/100),-1)</f>
        <v>1870</v>
      </c>
      <c r="AC48" s="4">
        <f t="shared" si="0"/>
        <v>2100</v>
      </c>
      <c r="AD48" s="4">
        <v>12</v>
      </c>
      <c r="AE48" s="4">
        <v>15</v>
      </c>
      <c r="AF48" s="4">
        <v>7</v>
      </c>
      <c r="AG48" s="4">
        <v>41</v>
      </c>
      <c r="AH48" s="4">
        <v>200</v>
      </c>
      <c r="AI48" s="4">
        <f>ROUND(300*I48*(1+AE48/100+AF48/100),0)</f>
        <v>768600</v>
      </c>
      <c r="AJ48" s="4">
        <v>4.2</v>
      </c>
      <c r="AK48" s="4">
        <v>120</v>
      </c>
      <c r="AL48" s="4" t="s">
        <v>111</v>
      </c>
      <c r="AM48" s="4" t="s">
        <v>59</v>
      </c>
    </row>
    <row r="49" spans="1:39" ht="213.75">
      <c r="A49" s="4" t="s">
        <v>474</v>
      </c>
      <c r="B49" s="4" t="s">
        <v>475</v>
      </c>
      <c r="C49" s="4" t="s">
        <v>72</v>
      </c>
      <c r="D49" s="4" t="s">
        <v>476</v>
      </c>
      <c r="E49" s="4" t="s">
        <v>477</v>
      </c>
      <c r="F49" s="4" t="s">
        <v>192</v>
      </c>
      <c r="G49" s="4" t="s">
        <v>478</v>
      </c>
      <c r="H49" s="4" t="s">
        <v>479</v>
      </c>
      <c r="I49" s="4">
        <v>2250</v>
      </c>
      <c r="J49" s="4">
        <v>3000</v>
      </c>
      <c r="K49" s="4">
        <v>4300</v>
      </c>
      <c r="L49" s="4">
        <v>500</v>
      </c>
      <c r="M49" s="4" t="s">
        <v>48</v>
      </c>
      <c r="N49" s="4" t="s">
        <v>60</v>
      </c>
      <c r="O49" s="4" t="s">
        <v>50</v>
      </c>
      <c r="P49" s="4">
        <v>80</v>
      </c>
      <c r="Q49" s="4" t="s">
        <v>480</v>
      </c>
      <c r="R49" s="4" t="s">
        <v>481</v>
      </c>
      <c r="S49" s="4" t="s">
        <v>50</v>
      </c>
      <c r="T49" s="4" t="s">
        <v>50</v>
      </c>
      <c r="U49" s="4" t="s">
        <v>50</v>
      </c>
      <c r="V49" s="4" t="s">
        <v>482</v>
      </c>
      <c r="W49" s="4" t="s">
        <v>54</v>
      </c>
      <c r="X49" s="4" t="s">
        <v>55</v>
      </c>
      <c r="Y49" s="4" t="s">
        <v>56</v>
      </c>
      <c r="Z49" s="4" t="s">
        <v>57</v>
      </c>
      <c r="AA49" s="4">
        <v>9</v>
      </c>
      <c r="AB49" s="4">
        <f>ROUND(I49*(1-AA49/100),-1)</f>
        <v>2050</v>
      </c>
      <c r="AC49" s="4">
        <f t="shared" si="0"/>
        <v>2250</v>
      </c>
      <c r="AD49" s="4">
        <v>17</v>
      </c>
      <c r="AE49" s="4">
        <v>15</v>
      </c>
      <c r="AF49" s="4">
        <v>10</v>
      </c>
      <c r="AG49" s="4">
        <v>38</v>
      </c>
      <c r="AH49" s="4">
        <v>175</v>
      </c>
      <c r="AI49" s="4">
        <f>ROUND(300*I49*(1+AE49/100+AF49/100),0)</f>
        <v>843750</v>
      </c>
      <c r="AJ49" s="4">
        <v>4</v>
      </c>
      <c r="AK49" s="4">
        <v>389</v>
      </c>
      <c r="AL49" s="4" t="s">
        <v>58</v>
      </c>
      <c r="AM49" s="4" t="s">
        <v>59</v>
      </c>
    </row>
    <row r="50" spans="1:39" ht="256.5">
      <c r="A50" s="4" t="s">
        <v>483</v>
      </c>
      <c r="B50" s="4" t="s">
        <v>484</v>
      </c>
      <c r="C50" s="4" t="s">
        <v>72</v>
      </c>
      <c r="D50" s="4" t="s">
        <v>485</v>
      </c>
      <c r="E50" s="4" t="s">
        <v>486</v>
      </c>
      <c r="F50" s="4" t="s">
        <v>163</v>
      </c>
      <c r="G50" s="4" t="s">
        <v>487</v>
      </c>
      <c r="H50" s="4" t="s">
        <v>488</v>
      </c>
      <c r="I50" s="4">
        <v>2350</v>
      </c>
      <c r="J50" s="4">
        <v>2900</v>
      </c>
      <c r="K50" s="4">
        <v>4500</v>
      </c>
      <c r="L50" s="4">
        <v>1075</v>
      </c>
      <c r="M50" s="4" t="s">
        <v>40</v>
      </c>
      <c r="N50" s="4" t="s">
        <v>60</v>
      </c>
      <c r="O50" s="4" t="s">
        <v>50</v>
      </c>
      <c r="P50" s="4">
        <v>235</v>
      </c>
      <c r="Q50" s="4" t="s">
        <v>489</v>
      </c>
      <c r="R50" s="4" t="s">
        <v>490</v>
      </c>
      <c r="S50" s="4" t="s">
        <v>50</v>
      </c>
      <c r="T50" s="4" t="s">
        <v>50</v>
      </c>
      <c r="U50" s="4" t="s">
        <v>50</v>
      </c>
      <c r="V50" s="4" t="s">
        <v>491</v>
      </c>
      <c r="W50" s="4" t="s">
        <v>54</v>
      </c>
      <c r="X50" s="4" t="s">
        <v>55</v>
      </c>
      <c r="Y50" s="4" t="s">
        <v>169</v>
      </c>
      <c r="Z50" s="4" t="s">
        <v>57</v>
      </c>
      <c r="AA50" s="4">
        <v>8</v>
      </c>
      <c r="AB50" s="4">
        <f>ROUND(I50*(1-AA50/100),-1)</f>
        <v>2160</v>
      </c>
      <c r="AC50" s="4">
        <f t="shared" si="0"/>
        <v>2350</v>
      </c>
      <c r="AD50" s="4">
        <v>21</v>
      </c>
      <c r="AE50" s="4">
        <v>15</v>
      </c>
      <c r="AF50" s="4">
        <v>9</v>
      </c>
      <c r="AG50" s="4">
        <v>48</v>
      </c>
      <c r="AH50" s="4">
        <v>325</v>
      </c>
      <c r="AI50" s="4">
        <f>ROUND(300*I50*(1+AE50/100+AF50/100),0)</f>
        <v>874200</v>
      </c>
      <c r="AJ50" s="4">
        <v>4.3</v>
      </c>
      <c r="AK50" s="4">
        <v>379</v>
      </c>
      <c r="AL50" s="4" t="s">
        <v>58</v>
      </c>
      <c r="AM50" s="4" t="s">
        <v>59</v>
      </c>
    </row>
    <row r="51" spans="1:39" ht="228">
      <c r="A51" s="4" t="s">
        <v>492</v>
      </c>
      <c r="B51" s="4" t="s">
        <v>493</v>
      </c>
      <c r="C51" s="4" t="s">
        <v>94</v>
      </c>
      <c r="D51" s="4" t="s">
        <v>494</v>
      </c>
      <c r="E51" s="4" t="s">
        <v>495</v>
      </c>
      <c r="F51" s="4" t="s">
        <v>163</v>
      </c>
      <c r="G51" s="4" t="s">
        <v>496</v>
      </c>
      <c r="H51" s="4" t="s">
        <v>497</v>
      </c>
      <c r="I51" s="4">
        <v>1950</v>
      </c>
      <c r="J51" s="4">
        <v>2400</v>
      </c>
      <c r="K51" s="4">
        <v>4000</v>
      </c>
      <c r="L51" s="4">
        <v>475</v>
      </c>
      <c r="M51" s="4" t="s">
        <v>48</v>
      </c>
      <c r="N51" s="4" t="s">
        <v>60</v>
      </c>
      <c r="O51" s="4" t="s">
        <v>50</v>
      </c>
      <c r="P51" s="4">
        <v>140</v>
      </c>
      <c r="Q51" s="4" t="s">
        <v>498</v>
      </c>
      <c r="R51" s="4" t="s">
        <v>499</v>
      </c>
      <c r="S51" s="4" t="s">
        <v>50</v>
      </c>
      <c r="T51" s="4" t="s">
        <v>50</v>
      </c>
      <c r="U51" s="4" t="s">
        <v>50</v>
      </c>
      <c r="V51" s="4" t="s">
        <v>178</v>
      </c>
      <c r="W51" s="4" t="s">
        <v>54</v>
      </c>
      <c r="X51" s="4" t="s">
        <v>55</v>
      </c>
      <c r="Y51" s="4" t="s">
        <v>169</v>
      </c>
      <c r="Z51" s="4" t="s">
        <v>70</v>
      </c>
      <c r="AA51" s="4">
        <v>10</v>
      </c>
      <c r="AB51" s="4">
        <f>ROUND(I51*(1-AA51/100),-1)</f>
        <v>1760</v>
      </c>
      <c r="AC51" s="4">
        <f t="shared" si="0"/>
        <v>1950</v>
      </c>
      <c r="AD51" s="4">
        <v>10</v>
      </c>
      <c r="AE51" s="4">
        <v>15</v>
      </c>
      <c r="AF51" s="4">
        <v>7</v>
      </c>
      <c r="AG51" s="4">
        <v>38</v>
      </c>
      <c r="AH51" s="4">
        <v>150</v>
      </c>
      <c r="AI51" s="4">
        <f>ROUND(300*I51*(1+AE51/100+AF51/100),0)</f>
        <v>713700</v>
      </c>
      <c r="AJ51" s="4">
        <v>4.5</v>
      </c>
      <c r="AK51" s="4">
        <v>570</v>
      </c>
      <c r="AL51" s="4" t="s">
        <v>111</v>
      </c>
      <c r="AM51" s="4" t="s">
        <v>59</v>
      </c>
    </row>
    <row r="52" spans="1:39" ht="228">
      <c r="A52" s="4" t="s">
        <v>500</v>
      </c>
      <c r="B52" s="4" t="s">
        <v>501</v>
      </c>
      <c r="C52" s="4" t="s">
        <v>72</v>
      </c>
      <c r="D52" s="4" t="s">
        <v>502</v>
      </c>
      <c r="E52" s="4" t="s">
        <v>503</v>
      </c>
      <c r="F52" s="4" t="s">
        <v>75</v>
      </c>
      <c r="G52" s="4" t="s">
        <v>504</v>
      </c>
      <c r="H52" s="4" t="s">
        <v>505</v>
      </c>
      <c r="I52" s="4">
        <v>2200</v>
      </c>
      <c r="J52" s="4">
        <v>2900</v>
      </c>
      <c r="K52" s="4">
        <v>4850</v>
      </c>
      <c r="L52" s="4">
        <v>750</v>
      </c>
      <c r="M52" s="4" t="s">
        <v>48</v>
      </c>
      <c r="N52" s="4" t="s">
        <v>40</v>
      </c>
      <c r="O52" s="4" t="s">
        <v>50</v>
      </c>
      <c r="P52" s="4">
        <v>165</v>
      </c>
      <c r="Q52" s="4" t="s">
        <v>506</v>
      </c>
      <c r="R52" s="4" t="s">
        <v>507</v>
      </c>
      <c r="S52" s="4" t="s">
        <v>50</v>
      </c>
      <c r="T52" s="4" t="s">
        <v>50</v>
      </c>
      <c r="U52" s="4" t="s">
        <v>50</v>
      </c>
      <c r="V52" s="4" t="s">
        <v>508</v>
      </c>
      <c r="W52" s="4" t="s">
        <v>54</v>
      </c>
      <c r="X52" s="4" t="s">
        <v>55</v>
      </c>
      <c r="Y52" s="4" t="s">
        <v>69</v>
      </c>
      <c r="Z52" s="4" t="s">
        <v>57</v>
      </c>
      <c r="AA52" s="4">
        <v>9</v>
      </c>
      <c r="AB52" s="4">
        <f>ROUND(I52*(1-AA52/100),-1)</f>
        <v>2000</v>
      </c>
      <c r="AC52" s="4">
        <f t="shared" si="0"/>
        <v>2200</v>
      </c>
      <c r="AD52" s="4">
        <v>15</v>
      </c>
      <c r="AE52" s="4">
        <v>15</v>
      </c>
      <c r="AF52" s="4">
        <v>6</v>
      </c>
      <c r="AG52" s="4">
        <v>42</v>
      </c>
      <c r="AH52" s="4">
        <v>250</v>
      </c>
      <c r="AI52" s="4">
        <f>ROUND(300*I52*(1+AE52/100+AF52/100),0)</f>
        <v>798600</v>
      </c>
      <c r="AJ52" s="4">
        <v>4</v>
      </c>
      <c r="AK52" s="4">
        <v>45</v>
      </c>
      <c r="AL52" s="4" t="s">
        <v>111</v>
      </c>
      <c r="AM52" s="4" t="s">
        <v>59</v>
      </c>
    </row>
    <row r="53" spans="1:39" ht="256.5">
      <c r="A53" s="4" t="s">
        <v>509</v>
      </c>
      <c r="B53" s="4" t="s">
        <v>510</v>
      </c>
      <c r="C53" s="4" t="s">
        <v>72</v>
      </c>
      <c r="D53" s="4" t="s">
        <v>511</v>
      </c>
      <c r="E53" s="4" t="s">
        <v>512</v>
      </c>
      <c r="F53" s="4" t="s">
        <v>192</v>
      </c>
      <c r="G53" s="4" t="s">
        <v>513</v>
      </c>
      <c r="H53" s="4" t="s">
        <v>514</v>
      </c>
      <c r="I53" s="4">
        <v>2350</v>
      </c>
      <c r="J53" s="4">
        <v>3150</v>
      </c>
      <c r="K53" s="4">
        <v>4300</v>
      </c>
      <c r="L53" s="4">
        <v>825</v>
      </c>
      <c r="M53" s="4" t="s">
        <v>40</v>
      </c>
      <c r="N53" s="4" t="s">
        <v>60</v>
      </c>
      <c r="O53" s="4" t="s">
        <v>50</v>
      </c>
      <c r="P53" s="4">
        <v>175</v>
      </c>
      <c r="Q53" s="4" t="s">
        <v>515</v>
      </c>
      <c r="R53" s="4" t="s">
        <v>516</v>
      </c>
      <c r="S53" s="4" t="s">
        <v>50</v>
      </c>
      <c r="T53" s="4" t="s">
        <v>50</v>
      </c>
      <c r="U53" s="4" t="s">
        <v>50</v>
      </c>
      <c r="V53" s="4" t="s">
        <v>517</v>
      </c>
      <c r="W53" s="4" t="s">
        <v>54</v>
      </c>
      <c r="X53" s="4" t="s">
        <v>55</v>
      </c>
      <c r="Y53" s="4" t="s">
        <v>81</v>
      </c>
      <c r="Z53" s="4" t="s">
        <v>57</v>
      </c>
      <c r="AA53" s="4">
        <v>11</v>
      </c>
      <c r="AB53" s="4">
        <f>ROUND(I53*(1-AA53/100),-1)</f>
        <v>2090</v>
      </c>
      <c r="AC53" s="4">
        <f t="shared" si="0"/>
        <v>2350</v>
      </c>
      <c r="AD53" s="4">
        <v>16</v>
      </c>
      <c r="AE53" s="4">
        <v>15</v>
      </c>
      <c r="AF53" s="4">
        <v>9</v>
      </c>
      <c r="AG53" s="4">
        <v>46</v>
      </c>
      <c r="AH53" s="4">
        <v>275</v>
      </c>
      <c r="AI53" s="4">
        <f>ROUND(300*I53*(1+AE53/100+AF53/100),0)</f>
        <v>874200</v>
      </c>
      <c r="AJ53" s="4">
        <v>3.9</v>
      </c>
      <c r="AK53" s="4">
        <v>793</v>
      </c>
      <c r="AL53" s="4" t="s">
        <v>58</v>
      </c>
      <c r="AM53" s="4" t="s">
        <v>59</v>
      </c>
    </row>
    <row r="54" spans="1:39" ht="213.75">
      <c r="A54" s="4" t="s">
        <v>518</v>
      </c>
      <c r="B54" s="4" t="s">
        <v>519</v>
      </c>
      <c r="C54" s="4" t="s">
        <v>72</v>
      </c>
      <c r="D54" s="4" t="s">
        <v>520</v>
      </c>
      <c r="E54" s="4" t="s">
        <v>521</v>
      </c>
      <c r="F54" s="4" t="s">
        <v>86</v>
      </c>
      <c r="G54" s="4" t="s">
        <v>522</v>
      </c>
      <c r="H54" s="4" t="s">
        <v>523</v>
      </c>
      <c r="I54" s="4">
        <v>2400</v>
      </c>
      <c r="J54" s="4">
        <v>3050</v>
      </c>
      <c r="K54" s="4">
        <v>4500</v>
      </c>
      <c r="L54" s="4">
        <v>450</v>
      </c>
      <c r="M54" s="4" t="s">
        <v>48</v>
      </c>
      <c r="N54" s="4" t="s">
        <v>60</v>
      </c>
      <c r="O54" s="4" t="s">
        <v>50</v>
      </c>
      <c r="P54" s="4">
        <v>80</v>
      </c>
      <c r="Q54" s="4" t="s">
        <v>524</v>
      </c>
      <c r="R54" s="4" t="s">
        <v>525</v>
      </c>
      <c r="S54" s="4" t="s">
        <v>50</v>
      </c>
      <c r="T54" s="4" t="s">
        <v>50</v>
      </c>
      <c r="U54" s="4" t="s">
        <v>50</v>
      </c>
      <c r="V54" s="4" t="s">
        <v>526</v>
      </c>
      <c r="W54" s="4" t="s">
        <v>54</v>
      </c>
      <c r="X54" s="4" t="s">
        <v>55</v>
      </c>
      <c r="Y54" s="4" t="s">
        <v>56</v>
      </c>
      <c r="Z54" s="4" t="s">
        <v>57</v>
      </c>
      <c r="AA54" s="4">
        <v>7</v>
      </c>
      <c r="AB54" s="4">
        <f>ROUND(I54*(1-AA54/100),-1)</f>
        <v>2230</v>
      </c>
      <c r="AC54" s="4">
        <f t="shared" si="0"/>
        <v>2400</v>
      </c>
      <c r="AD54" s="4">
        <v>20</v>
      </c>
      <c r="AE54" s="4">
        <v>15</v>
      </c>
      <c r="AF54" s="4">
        <v>10</v>
      </c>
      <c r="AG54" s="4">
        <v>31</v>
      </c>
      <c r="AH54" s="4">
        <v>175</v>
      </c>
      <c r="AI54" s="4">
        <f>ROUND(300*I54*(1+AE54/100+AF54/100),0)</f>
        <v>900000</v>
      </c>
      <c r="AJ54" s="4">
        <v>4.7</v>
      </c>
      <c r="AK54" s="4">
        <v>237</v>
      </c>
      <c r="AL54" s="4" t="s">
        <v>111</v>
      </c>
      <c r="AM54" s="4" t="s">
        <v>59</v>
      </c>
    </row>
    <row r="55" spans="1:39" ht="256.5">
      <c r="A55" s="4" t="s">
        <v>527</v>
      </c>
      <c r="B55" s="4" t="s">
        <v>528</v>
      </c>
      <c r="C55" s="4" t="s">
        <v>72</v>
      </c>
      <c r="D55" s="4" t="s">
        <v>529</v>
      </c>
      <c r="E55" s="4" t="s">
        <v>530</v>
      </c>
      <c r="F55" s="4" t="s">
        <v>282</v>
      </c>
      <c r="G55" s="4" t="s">
        <v>531</v>
      </c>
      <c r="H55" s="4" t="s">
        <v>532</v>
      </c>
      <c r="I55" s="4">
        <v>2750</v>
      </c>
      <c r="J55" s="4">
        <v>3500</v>
      </c>
      <c r="K55" s="4">
        <v>5150</v>
      </c>
      <c r="L55" s="4">
        <v>475</v>
      </c>
      <c r="M55" s="4" t="s">
        <v>40</v>
      </c>
      <c r="N55" s="4" t="s">
        <v>40</v>
      </c>
      <c r="O55" s="4" t="s">
        <v>50</v>
      </c>
      <c r="P55" s="4">
        <v>125</v>
      </c>
      <c r="Q55" s="4" t="s">
        <v>533</v>
      </c>
      <c r="R55" s="4" t="s">
        <v>534</v>
      </c>
      <c r="S55" s="4" t="s">
        <v>50</v>
      </c>
      <c r="T55" s="4" t="s">
        <v>50</v>
      </c>
      <c r="U55" s="4" t="s">
        <v>50</v>
      </c>
      <c r="V55" s="4" t="s">
        <v>287</v>
      </c>
      <c r="W55" s="4" t="s">
        <v>54</v>
      </c>
      <c r="X55" s="4" t="s">
        <v>55</v>
      </c>
      <c r="Y55" s="4" t="s">
        <v>81</v>
      </c>
      <c r="Z55" s="4" t="s">
        <v>57</v>
      </c>
      <c r="AA55" s="4">
        <v>5</v>
      </c>
      <c r="AB55" s="4">
        <f>ROUND(I55*(1-AA55/100),-1)</f>
        <v>2610</v>
      </c>
      <c r="AC55" s="4">
        <f t="shared" si="0"/>
        <v>2750</v>
      </c>
      <c r="AD55" s="4">
        <v>13</v>
      </c>
      <c r="AE55" s="4">
        <v>15</v>
      </c>
      <c r="AF55" s="4">
        <v>7</v>
      </c>
      <c r="AG55" s="4">
        <v>45</v>
      </c>
      <c r="AH55" s="4">
        <v>175</v>
      </c>
      <c r="AI55" s="4">
        <f>ROUND(300*I55*(1+AE55/100+AF55/100),0)</f>
        <v>1006500</v>
      </c>
      <c r="AJ55" s="4">
        <v>4.9000000000000004</v>
      </c>
      <c r="AK55" s="4">
        <v>508</v>
      </c>
      <c r="AL55" s="4" t="s">
        <v>58</v>
      </c>
      <c r="AM55" s="4" t="s">
        <v>59</v>
      </c>
    </row>
    <row r="56" spans="1:39" ht="228">
      <c r="A56" s="4" t="s">
        <v>535</v>
      </c>
      <c r="B56" s="4" t="s">
        <v>536</v>
      </c>
      <c r="C56" s="4" t="s">
        <v>94</v>
      </c>
      <c r="D56" s="4" t="s">
        <v>537</v>
      </c>
      <c r="E56" s="4" t="s">
        <v>538</v>
      </c>
      <c r="F56" s="4" t="s">
        <v>75</v>
      </c>
      <c r="G56" s="4" t="s">
        <v>539</v>
      </c>
      <c r="H56" s="4" t="s">
        <v>540</v>
      </c>
      <c r="I56" s="4">
        <v>1900</v>
      </c>
      <c r="J56" s="4">
        <v>2600</v>
      </c>
      <c r="K56" s="4">
        <v>4150</v>
      </c>
      <c r="L56" s="4">
        <v>500</v>
      </c>
      <c r="M56" s="4" t="s">
        <v>48</v>
      </c>
      <c r="N56" s="4" t="s">
        <v>60</v>
      </c>
      <c r="O56" s="4" t="s">
        <v>50</v>
      </c>
      <c r="P56" s="4">
        <v>120</v>
      </c>
      <c r="Q56" s="4" t="s">
        <v>541</v>
      </c>
      <c r="R56" s="4" t="s">
        <v>542</v>
      </c>
      <c r="S56" s="4" t="s">
        <v>50</v>
      </c>
      <c r="T56" s="4" t="s">
        <v>50</v>
      </c>
      <c r="U56" s="4" t="s">
        <v>50</v>
      </c>
      <c r="V56" s="4" t="s">
        <v>224</v>
      </c>
      <c r="W56" s="4" t="s">
        <v>54</v>
      </c>
      <c r="X56" s="4" t="s">
        <v>55</v>
      </c>
      <c r="Y56" s="4" t="s">
        <v>56</v>
      </c>
      <c r="Z56" s="4" t="s">
        <v>70</v>
      </c>
      <c r="AA56" s="4">
        <v>9</v>
      </c>
      <c r="AB56" s="4">
        <f>ROUND(I56*(1-AA56/100),-1)</f>
        <v>1730</v>
      </c>
      <c r="AC56" s="4">
        <f t="shared" si="0"/>
        <v>1900</v>
      </c>
      <c r="AD56" s="4">
        <v>19</v>
      </c>
      <c r="AE56" s="4">
        <v>15</v>
      </c>
      <c r="AF56" s="4">
        <v>8</v>
      </c>
      <c r="AG56" s="4">
        <v>32</v>
      </c>
      <c r="AH56" s="4">
        <v>150</v>
      </c>
      <c r="AI56" s="4">
        <f>ROUND(300*I56*(1+AE56/100+AF56/100),0)</f>
        <v>701100</v>
      </c>
      <c r="AJ56" s="4">
        <v>4.7</v>
      </c>
      <c r="AK56" s="4">
        <v>62</v>
      </c>
      <c r="AL56" s="4" t="s">
        <v>111</v>
      </c>
      <c r="AM56" s="4" t="s">
        <v>59</v>
      </c>
    </row>
    <row r="57" spans="1:39" ht="256.5">
      <c r="A57" s="4" t="s">
        <v>543</v>
      </c>
      <c r="B57" s="4" t="s">
        <v>544</v>
      </c>
      <c r="C57" s="4" t="s">
        <v>72</v>
      </c>
      <c r="D57" s="4" t="s">
        <v>545</v>
      </c>
      <c r="E57" s="4" t="s">
        <v>546</v>
      </c>
      <c r="F57" s="4" t="s">
        <v>75</v>
      </c>
      <c r="G57" s="4" t="s">
        <v>547</v>
      </c>
      <c r="H57" s="4" t="s">
        <v>548</v>
      </c>
      <c r="I57" s="4">
        <v>2200</v>
      </c>
      <c r="J57" s="4">
        <v>3200</v>
      </c>
      <c r="K57" s="4">
        <v>4800</v>
      </c>
      <c r="L57" s="4">
        <v>475</v>
      </c>
      <c r="M57" s="4" t="s">
        <v>40</v>
      </c>
      <c r="N57" s="4" t="s">
        <v>40</v>
      </c>
      <c r="O57" s="4" t="s">
        <v>50</v>
      </c>
      <c r="P57" s="4">
        <v>110</v>
      </c>
      <c r="Q57" s="4" t="s">
        <v>549</v>
      </c>
      <c r="R57" s="4" t="s">
        <v>550</v>
      </c>
      <c r="S57" s="4" t="s">
        <v>50</v>
      </c>
      <c r="T57" s="4" t="s">
        <v>50</v>
      </c>
      <c r="U57" s="4" t="s">
        <v>50</v>
      </c>
      <c r="V57" s="4" t="s">
        <v>364</v>
      </c>
      <c r="W57" s="4" t="s">
        <v>54</v>
      </c>
      <c r="X57" s="4" t="s">
        <v>55</v>
      </c>
      <c r="Y57" s="4" t="s">
        <v>81</v>
      </c>
      <c r="Z57" s="4" t="s">
        <v>57</v>
      </c>
      <c r="AA57" s="4">
        <v>10</v>
      </c>
      <c r="AB57" s="4">
        <f>ROUND(I57*(1-AA57/100),-1)</f>
        <v>1980</v>
      </c>
      <c r="AC57" s="4">
        <f t="shared" si="0"/>
        <v>2200</v>
      </c>
      <c r="AD57" s="4">
        <v>20</v>
      </c>
      <c r="AE57" s="4">
        <v>15</v>
      </c>
      <c r="AF57" s="4">
        <v>6</v>
      </c>
      <c r="AG57" s="4">
        <v>42</v>
      </c>
      <c r="AH57" s="4">
        <v>175</v>
      </c>
      <c r="AI57" s="4">
        <f>ROUND(300*I57*(1+AE57/100+AF57/100),0)</f>
        <v>798600</v>
      </c>
      <c r="AJ57" s="4">
        <v>4</v>
      </c>
      <c r="AK57" s="4">
        <v>289</v>
      </c>
      <c r="AL57" s="4" t="s">
        <v>111</v>
      </c>
      <c r="AM57" s="4" t="s">
        <v>59</v>
      </c>
    </row>
    <row r="58" spans="1:39" ht="228">
      <c r="A58" s="4" t="s">
        <v>551</v>
      </c>
      <c r="B58" s="4" t="s">
        <v>552</v>
      </c>
      <c r="C58" s="4" t="s">
        <v>72</v>
      </c>
      <c r="D58" s="4" t="s">
        <v>553</v>
      </c>
      <c r="E58" s="4" t="s">
        <v>554</v>
      </c>
      <c r="F58" s="4" t="s">
        <v>163</v>
      </c>
      <c r="G58" s="4" t="s">
        <v>555</v>
      </c>
      <c r="H58" s="4" t="s">
        <v>556</v>
      </c>
      <c r="I58" s="4">
        <v>2250</v>
      </c>
      <c r="J58" s="4">
        <v>2750</v>
      </c>
      <c r="K58" s="4">
        <v>3800</v>
      </c>
      <c r="L58" s="4">
        <v>1050</v>
      </c>
      <c r="M58" s="4" t="s">
        <v>48</v>
      </c>
      <c r="N58" s="4" t="s">
        <v>49</v>
      </c>
      <c r="O58" s="4" t="s">
        <v>50</v>
      </c>
      <c r="P58" s="4">
        <v>200</v>
      </c>
      <c r="Q58" s="4" t="s">
        <v>557</v>
      </c>
      <c r="R58" s="4" t="s">
        <v>558</v>
      </c>
      <c r="S58" s="4" t="s">
        <v>50</v>
      </c>
      <c r="T58" s="4" t="s">
        <v>50</v>
      </c>
      <c r="U58" s="4" t="s">
        <v>50</v>
      </c>
      <c r="V58" s="4" t="s">
        <v>391</v>
      </c>
      <c r="W58" s="4" t="s">
        <v>54</v>
      </c>
      <c r="X58" s="4" t="s">
        <v>55</v>
      </c>
      <c r="Y58" s="4" t="s">
        <v>169</v>
      </c>
      <c r="Z58" s="4" t="s">
        <v>57</v>
      </c>
      <c r="AA58" s="4">
        <v>5</v>
      </c>
      <c r="AB58" s="4">
        <f>ROUND(I58*(1-AA58/100),-1)</f>
        <v>2140</v>
      </c>
      <c r="AC58" s="4">
        <f t="shared" si="0"/>
        <v>2250</v>
      </c>
      <c r="AD58" s="4">
        <v>15</v>
      </c>
      <c r="AE58" s="4">
        <v>15</v>
      </c>
      <c r="AF58" s="4">
        <v>9</v>
      </c>
      <c r="AG58" s="4">
        <v>42</v>
      </c>
      <c r="AH58" s="4">
        <v>375</v>
      </c>
      <c r="AI58" s="4">
        <f>ROUND(300*I58*(1+AE58/100+AF58/100),0)</f>
        <v>837000</v>
      </c>
      <c r="AJ58" s="4">
        <v>4.0999999999999996</v>
      </c>
      <c r="AK58" s="4">
        <v>66</v>
      </c>
      <c r="AL58" s="4" t="s">
        <v>58</v>
      </c>
      <c r="AM58" s="4" t="s">
        <v>59</v>
      </c>
    </row>
    <row r="59" spans="1:39" ht="228">
      <c r="A59" s="4" t="s">
        <v>559</v>
      </c>
      <c r="B59" s="4" t="s">
        <v>560</v>
      </c>
      <c r="C59" s="4" t="s">
        <v>94</v>
      </c>
      <c r="D59" s="4" t="s">
        <v>561</v>
      </c>
      <c r="E59" s="4" t="s">
        <v>562</v>
      </c>
      <c r="F59" s="4" t="s">
        <v>75</v>
      </c>
      <c r="G59" s="4" t="s">
        <v>563</v>
      </c>
      <c r="H59" s="4" t="s">
        <v>564</v>
      </c>
      <c r="I59" s="4">
        <v>1950</v>
      </c>
      <c r="J59" s="4">
        <v>2550</v>
      </c>
      <c r="K59" s="4">
        <v>3850</v>
      </c>
      <c r="L59" s="4">
        <v>500</v>
      </c>
      <c r="M59" s="4" t="s">
        <v>48</v>
      </c>
      <c r="N59" s="4" t="s">
        <v>40</v>
      </c>
      <c r="O59" s="4" t="s">
        <v>50</v>
      </c>
      <c r="P59" s="4">
        <v>110</v>
      </c>
      <c r="Q59" s="4" t="s">
        <v>565</v>
      </c>
      <c r="R59" s="4" t="s">
        <v>566</v>
      </c>
      <c r="S59" s="4" t="s">
        <v>50</v>
      </c>
      <c r="T59" s="4" t="s">
        <v>50</v>
      </c>
      <c r="U59" s="4" t="s">
        <v>50</v>
      </c>
      <c r="V59" s="4" t="s">
        <v>187</v>
      </c>
      <c r="W59" s="4" t="s">
        <v>54</v>
      </c>
      <c r="X59" s="4" t="s">
        <v>55</v>
      </c>
      <c r="Y59" s="4" t="s">
        <v>69</v>
      </c>
      <c r="Z59" s="4" t="s">
        <v>70</v>
      </c>
      <c r="AA59" s="4">
        <v>9</v>
      </c>
      <c r="AB59" s="4">
        <f>ROUND(I59*(1-AA59/100),-1)</f>
        <v>1770</v>
      </c>
      <c r="AC59" s="4">
        <f t="shared" si="0"/>
        <v>1950</v>
      </c>
      <c r="AD59" s="4">
        <v>11</v>
      </c>
      <c r="AE59" s="4">
        <v>15</v>
      </c>
      <c r="AF59" s="4">
        <v>10</v>
      </c>
      <c r="AG59" s="4">
        <v>42</v>
      </c>
      <c r="AH59" s="4">
        <v>150</v>
      </c>
      <c r="AI59" s="4">
        <f>ROUND(300*I59*(1+AE59/100+AF59/100),0)</f>
        <v>731250</v>
      </c>
      <c r="AJ59" s="4">
        <v>4.5</v>
      </c>
      <c r="AK59" s="4">
        <v>366</v>
      </c>
      <c r="AL59" s="4" t="s">
        <v>58</v>
      </c>
      <c r="AM59" s="4" t="s">
        <v>59</v>
      </c>
    </row>
    <row r="60" spans="1:39" ht="228">
      <c r="A60" s="4" t="s">
        <v>567</v>
      </c>
      <c r="B60" s="4" t="s">
        <v>568</v>
      </c>
      <c r="C60" s="4" t="s">
        <v>72</v>
      </c>
      <c r="D60" s="4" t="s">
        <v>569</v>
      </c>
      <c r="E60" s="4" t="s">
        <v>570</v>
      </c>
      <c r="F60" s="4" t="s">
        <v>75</v>
      </c>
      <c r="G60" s="4" t="s">
        <v>571</v>
      </c>
      <c r="H60" s="4" t="s">
        <v>572</v>
      </c>
      <c r="I60" s="4">
        <v>2250</v>
      </c>
      <c r="J60" s="4">
        <v>2950</v>
      </c>
      <c r="K60" s="4">
        <v>4500</v>
      </c>
      <c r="L60" s="4">
        <v>500</v>
      </c>
      <c r="M60" s="4" t="s">
        <v>48</v>
      </c>
      <c r="N60" s="4" t="s">
        <v>40</v>
      </c>
      <c r="O60" s="4" t="s">
        <v>50</v>
      </c>
      <c r="P60" s="4">
        <v>115</v>
      </c>
      <c r="Q60" s="4" t="s">
        <v>573</v>
      </c>
      <c r="R60" s="4" t="s">
        <v>574</v>
      </c>
      <c r="S60" s="4" t="s">
        <v>50</v>
      </c>
      <c r="T60" s="4" t="s">
        <v>50</v>
      </c>
      <c r="U60" s="4" t="s">
        <v>50</v>
      </c>
      <c r="V60" s="4" t="s">
        <v>206</v>
      </c>
      <c r="W60" s="4" t="s">
        <v>54</v>
      </c>
      <c r="X60" s="4" t="s">
        <v>55</v>
      </c>
      <c r="Y60" s="4" t="s">
        <v>69</v>
      </c>
      <c r="Z60" s="4" t="s">
        <v>57</v>
      </c>
      <c r="AA60" s="4">
        <v>7</v>
      </c>
      <c r="AB60" s="4">
        <f>ROUND(I60*(1-AA60/100),-1)</f>
        <v>2090</v>
      </c>
      <c r="AC60" s="4">
        <f t="shared" si="0"/>
        <v>2250</v>
      </c>
      <c r="AD60" s="4">
        <v>14</v>
      </c>
      <c r="AE60" s="4">
        <v>15</v>
      </c>
      <c r="AF60" s="4">
        <v>9</v>
      </c>
      <c r="AG60" s="4">
        <v>41</v>
      </c>
      <c r="AH60" s="4">
        <v>150</v>
      </c>
      <c r="AI60" s="4">
        <f>ROUND(300*I60*(1+AE60/100+AF60/100),0)</f>
        <v>837000</v>
      </c>
      <c r="AJ60" s="4">
        <v>4.0999999999999996</v>
      </c>
      <c r="AK60" s="4">
        <v>658</v>
      </c>
      <c r="AL60" s="4" t="s">
        <v>111</v>
      </c>
      <c r="AM60" s="4" t="s">
        <v>59</v>
      </c>
    </row>
    <row r="61" spans="1:39" ht="242.25">
      <c r="A61" s="4" t="s">
        <v>575</v>
      </c>
      <c r="B61" s="4" t="s">
        <v>576</v>
      </c>
      <c r="C61" s="4" t="s">
        <v>72</v>
      </c>
      <c r="D61" s="4" t="s">
        <v>577</v>
      </c>
      <c r="E61" s="4" t="s">
        <v>578</v>
      </c>
      <c r="F61" s="4" t="s">
        <v>86</v>
      </c>
      <c r="G61" s="4" t="s">
        <v>579</v>
      </c>
      <c r="H61" s="4" t="s">
        <v>580</v>
      </c>
      <c r="I61" s="4">
        <v>2200</v>
      </c>
      <c r="J61" s="4">
        <v>2900</v>
      </c>
      <c r="K61" s="4">
        <v>3850</v>
      </c>
      <c r="L61" s="4">
        <v>525</v>
      </c>
      <c r="M61" s="4" t="s">
        <v>40</v>
      </c>
      <c r="N61" s="4" t="s">
        <v>40</v>
      </c>
      <c r="O61" s="4" t="s">
        <v>50</v>
      </c>
      <c r="P61" s="4">
        <v>90</v>
      </c>
      <c r="Q61" s="4" t="s">
        <v>581</v>
      </c>
      <c r="R61" s="4" t="s">
        <v>582</v>
      </c>
      <c r="S61" s="4" t="s">
        <v>50</v>
      </c>
      <c r="T61" s="4" t="s">
        <v>50</v>
      </c>
      <c r="U61" s="4" t="s">
        <v>50</v>
      </c>
      <c r="V61" s="4" t="s">
        <v>583</v>
      </c>
      <c r="W61" s="4" t="s">
        <v>54</v>
      </c>
      <c r="X61" s="4" t="s">
        <v>55</v>
      </c>
      <c r="Y61" s="4" t="s">
        <v>81</v>
      </c>
      <c r="Z61" s="4" t="s">
        <v>57</v>
      </c>
      <c r="AA61" s="4">
        <v>10</v>
      </c>
      <c r="AB61" s="4">
        <f>ROUND(I61*(1-AA61/100),-1)</f>
        <v>1980</v>
      </c>
      <c r="AC61" s="4">
        <f t="shared" si="0"/>
        <v>2200</v>
      </c>
      <c r="AD61" s="4">
        <v>20</v>
      </c>
      <c r="AE61" s="4">
        <v>15</v>
      </c>
      <c r="AF61" s="4">
        <v>5</v>
      </c>
      <c r="AG61" s="4">
        <v>44</v>
      </c>
      <c r="AH61" s="4">
        <v>175</v>
      </c>
      <c r="AI61" s="4">
        <f>ROUND(300*I61*(1+AE61/100+AF61/100),0)</f>
        <v>792000</v>
      </c>
      <c r="AJ61" s="4">
        <v>4.0999999999999996</v>
      </c>
      <c r="AK61" s="4">
        <v>842</v>
      </c>
      <c r="AL61" s="4" t="s">
        <v>111</v>
      </c>
      <c r="AM61" s="4" t="s">
        <v>59</v>
      </c>
    </row>
    <row r="62" spans="1:39" ht="228">
      <c r="A62" s="4" t="s">
        <v>584</v>
      </c>
      <c r="B62" s="4" t="s">
        <v>585</v>
      </c>
      <c r="C62" s="4" t="s">
        <v>72</v>
      </c>
      <c r="D62" s="4" t="s">
        <v>586</v>
      </c>
      <c r="E62" s="4" t="s">
        <v>587</v>
      </c>
      <c r="F62" s="4" t="s">
        <v>75</v>
      </c>
      <c r="G62" s="4" t="s">
        <v>588</v>
      </c>
      <c r="H62" s="4" t="s">
        <v>589</v>
      </c>
      <c r="I62" s="4">
        <v>2300</v>
      </c>
      <c r="J62" s="4">
        <v>3000</v>
      </c>
      <c r="K62" s="4">
        <v>4750</v>
      </c>
      <c r="L62" s="4">
        <v>475</v>
      </c>
      <c r="M62" s="4" t="s">
        <v>48</v>
      </c>
      <c r="N62" s="4" t="s">
        <v>40</v>
      </c>
      <c r="O62" s="4" t="s">
        <v>50</v>
      </c>
      <c r="P62" s="4">
        <v>125</v>
      </c>
      <c r="Q62" s="4" t="s">
        <v>590</v>
      </c>
      <c r="R62" s="4" t="s">
        <v>591</v>
      </c>
      <c r="S62" s="4" t="s">
        <v>50</v>
      </c>
      <c r="T62" s="4" t="s">
        <v>50</v>
      </c>
      <c r="U62" s="4" t="s">
        <v>50</v>
      </c>
      <c r="V62" s="4" t="s">
        <v>206</v>
      </c>
      <c r="W62" s="4" t="s">
        <v>54</v>
      </c>
      <c r="X62" s="4" t="s">
        <v>55</v>
      </c>
      <c r="Y62" s="4" t="s">
        <v>69</v>
      </c>
      <c r="Z62" s="4" t="s">
        <v>57</v>
      </c>
      <c r="AA62" s="4">
        <v>12</v>
      </c>
      <c r="AB62" s="4">
        <f>ROUND(I62*(1-AA62/100),-1)</f>
        <v>2020</v>
      </c>
      <c r="AC62" s="4">
        <f t="shared" si="0"/>
        <v>2300</v>
      </c>
      <c r="AD62" s="4">
        <v>13</v>
      </c>
      <c r="AE62" s="4">
        <v>15</v>
      </c>
      <c r="AF62" s="4">
        <v>5</v>
      </c>
      <c r="AG62" s="4">
        <v>33</v>
      </c>
      <c r="AH62" s="4">
        <v>150</v>
      </c>
      <c r="AI62" s="4">
        <f>ROUND(300*I62*(1+AE62/100+AF62/100),0)</f>
        <v>828000</v>
      </c>
      <c r="AJ62" s="4">
        <v>4.0999999999999996</v>
      </c>
      <c r="AK62" s="4">
        <v>413</v>
      </c>
      <c r="AL62" s="4" t="s">
        <v>111</v>
      </c>
      <c r="AM62" s="4" t="s">
        <v>59</v>
      </c>
    </row>
    <row r="63" spans="1:39" ht="228">
      <c r="A63" s="4" t="s">
        <v>592</v>
      </c>
      <c r="B63" s="4" t="s">
        <v>593</v>
      </c>
      <c r="C63" s="4" t="s">
        <v>94</v>
      </c>
      <c r="D63" s="4" t="s">
        <v>594</v>
      </c>
      <c r="E63" s="4" t="s">
        <v>595</v>
      </c>
      <c r="F63" s="4" t="s">
        <v>75</v>
      </c>
      <c r="G63" s="4" t="s">
        <v>596</v>
      </c>
      <c r="H63" s="4" t="s">
        <v>597</v>
      </c>
      <c r="I63" s="4">
        <v>2050</v>
      </c>
      <c r="J63" s="4">
        <v>2650</v>
      </c>
      <c r="K63" s="4">
        <v>4550</v>
      </c>
      <c r="L63" s="4">
        <v>475</v>
      </c>
      <c r="M63" s="4" t="s">
        <v>48</v>
      </c>
      <c r="N63" s="4" t="s">
        <v>40</v>
      </c>
      <c r="O63" s="4" t="s">
        <v>50</v>
      </c>
      <c r="P63" s="4">
        <v>125</v>
      </c>
      <c r="Q63" s="4" t="s">
        <v>598</v>
      </c>
      <c r="R63" s="4" t="s">
        <v>599</v>
      </c>
      <c r="S63" s="4" t="s">
        <v>50</v>
      </c>
      <c r="T63" s="4" t="s">
        <v>50</v>
      </c>
      <c r="U63" s="4" t="s">
        <v>50</v>
      </c>
      <c r="V63" s="4" t="s">
        <v>187</v>
      </c>
      <c r="W63" s="4" t="s">
        <v>54</v>
      </c>
      <c r="X63" s="4" t="s">
        <v>55</v>
      </c>
      <c r="Y63" s="4" t="s">
        <v>69</v>
      </c>
      <c r="Z63" s="4" t="s">
        <v>70</v>
      </c>
      <c r="AA63" s="4">
        <v>10</v>
      </c>
      <c r="AB63" s="4">
        <f>ROUND(I63*(1-AA63/100),-1)</f>
        <v>1850</v>
      </c>
      <c r="AC63" s="4">
        <f t="shared" si="0"/>
        <v>2050</v>
      </c>
      <c r="AD63" s="4">
        <v>10</v>
      </c>
      <c r="AE63" s="4">
        <v>15</v>
      </c>
      <c r="AF63" s="4">
        <v>10</v>
      </c>
      <c r="AG63" s="4">
        <v>34</v>
      </c>
      <c r="AH63" s="4">
        <v>175</v>
      </c>
      <c r="AI63" s="4">
        <f>ROUND(300*I63*(1+AE63/100+AF63/100),0)</f>
        <v>768750</v>
      </c>
      <c r="AJ63" s="4">
        <v>4</v>
      </c>
      <c r="AK63" s="4">
        <v>554</v>
      </c>
      <c r="AL63" s="4" t="s">
        <v>58</v>
      </c>
      <c r="AM63" s="4" t="s">
        <v>59</v>
      </c>
    </row>
    <row r="64" spans="1:39" ht="213.75">
      <c r="A64" s="4" t="s">
        <v>600</v>
      </c>
      <c r="B64" s="4" t="s">
        <v>601</v>
      </c>
      <c r="C64" s="4" t="s">
        <v>94</v>
      </c>
      <c r="D64" s="4" t="s">
        <v>602</v>
      </c>
      <c r="E64" s="4" t="s">
        <v>603</v>
      </c>
      <c r="F64" s="4" t="s">
        <v>65</v>
      </c>
      <c r="G64" s="4" t="s">
        <v>604</v>
      </c>
      <c r="H64" s="4" t="s">
        <v>605</v>
      </c>
      <c r="I64" s="4">
        <v>1700</v>
      </c>
      <c r="J64" s="4">
        <v>2450</v>
      </c>
      <c r="K64" s="4">
        <v>3750</v>
      </c>
      <c r="L64" s="4">
        <v>500</v>
      </c>
      <c r="M64" s="4" t="s">
        <v>48</v>
      </c>
      <c r="N64" s="4" t="s">
        <v>40</v>
      </c>
      <c r="O64" s="4" t="s">
        <v>50</v>
      </c>
      <c r="P64" s="4">
        <v>95</v>
      </c>
      <c r="Q64" s="4" t="s">
        <v>606</v>
      </c>
      <c r="R64" s="4" t="s">
        <v>607</v>
      </c>
      <c r="S64" s="4" t="s">
        <v>50</v>
      </c>
      <c r="T64" s="4" t="s">
        <v>50</v>
      </c>
      <c r="U64" s="4" t="s">
        <v>50</v>
      </c>
      <c r="V64" s="4" t="s">
        <v>608</v>
      </c>
      <c r="W64" s="4" t="s">
        <v>54</v>
      </c>
      <c r="X64" s="4" t="s">
        <v>55</v>
      </c>
      <c r="Y64" s="4" t="s">
        <v>69</v>
      </c>
      <c r="Z64" s="4" t="s">
        <v>70</v>
      </c>
      <c r="AA64" s="4">
        <v>7</v>
      </c>
      <c r="AB64" s="4">
        <f>ROUND(I64*(1-AA64/100),-1)</f>
        <v>1580</v>
      </c>
      <c r="AC64" s="4">
        <f t="shared" si="0"/>
        <v>1700</v>
      </c>
      <c r="AD64" s="4">
        <v>20</v>
      </c>
      <c r="AE64" s="4">
        <v>15</v>
      </c>
      <c r="AF64" s="4">
        <v>6</v>
      </c>
      <c r="AG64" s="4">
        <v>32</v>
      </c>
      <c r="AH64" s="4">
        <v>175</v>
      </c>
      <c r="AI64" s="4">
        <f>ROUND(300*I64*(1+AE64/100+AF64/100),0)</f>
        <v>617100</v>
      </c>
      <c r="AJ64" s="4">
        <v>3.9</v>
      </c>
      <c r="AK64" s="4">
        <v>71</v>
      </c>
      <c r="AL64" s="4" t="s">
        <v>58</v>
      </c>
      <c r="AM64" s="4" t="s">
        <v>59</v>
      </c>
    </row>
    <row r="65" spans="1:39" ht="228">
      <c r="A65" s="4" t="s">
        <v>609</v>
      </c>
      <c r="B65" s="4" t="s">
        <v>610</v>
      </c>
      <c r="C65" s="4" t="s">
        <v>94</v>
      </c>
      <c r="D65" s="4" t="s">
        <v>611</v>
      </c>
      <c r="E65" s="4" t="s">
        <v>612</v>
      </c>
      <c r="F65" s="4" t="s">
        <v>65</v>
      </c>
      <c r="G65" s="4" t="s">
        <v>613</v>
      </c>
      <c r="H65" s="4" t="s">
        <v>614</v>
      </c>
      <c r="I65" s="4">
        <v>1700</v>
      </c>
      <c r="J65" s="4">
        <v>2350</v>
      </c>
      <c r="K65" s="4">
        <v>4000</v>
      </c>
      <c r="L65" s="4">
        <v>525</v>
      </c>
      <c r="M65" s="4" t="s">
        <v>48</v>
      </c>
      <c r="N65" s="4" t="s">
        <v>40</v>
      </c>
      <c r="O65" s="4" t="s">
        <v>50</v>
      </c>
      <c r="P65" s="4">
        <v>140</v>
      </c>
      <c r="Q65" s="4" t="s">
        <v>615</v>
      </c>
      <c r="R65" s="4" t="s">
        <v>616</v>
      </c>
      <c r="S65" s="4" t="s">
        <v>50</v>
      </c>
      <c r="T65" s="4" t="s">
        <v>50</v>
      </c>
      <c r="U65" s="4" t="s">
        <v>50</v>
      </c>
      <c r="V65" s="4" t="s">
        <v>608</v>
      </c>
      <c r="W65" s="4" t="s">
        <v>54</v>
      </c>
      <c r="X65" s="4" t="s">
        <v>55</v>
      </c>
      <c r="Y65" s="4" t="s">
        <v>69</v>
      </c>
      <c r="Z65" s="4" t="s">
        <v>70</v>
      </c>
      <c r="AA65" s="4">
        <v>12</v>
      </c>
      <c r="AB65" s="4">
        <f>ROUND(I65*(1-AA65/100),-1)</f>
        <v>1500</v>
      </c>
      <c r="AC65" s="4">
        <f t="shared" si="0"/>
        <v>1700</v>
      </c>
      <c r="AD65" s="4">
        <v>12</v>
      </c>
      <c r="AE65" s="4">
        <v>15</v>
      </c>
      <c r="AF65" s="4">
        <v>10</v>
      </c>
      <c r="AG65" s="4">
        <v>44</v>
      </c>
      <c r="AH65" s="4">
        <v>175</v>
      </c>
      <c r="AI65" s="4">
        <f>ROUND(300*I65*(1+AE65/100+AF65/100),0)</f>
        <v>637500</v>
      </c>
      <c r="AJ65" s="4">
        <v>4</v>
      </c>
      <c r="AK65" s="4">
        <v>88</v>
      </c>
      <c r="AL65" s="4" t="s">
        <v>58</v>
      </c>
      <c r="AM65" s="4" t="s">
        <v>59</v>
      </c>
    </row>
    <row r="66" spans="1:39" ht="228">
      <c r="A66" s="4" t="s">
        <v>617</v>
      </c>
      <c r="B66" s="4" t="s">
        <v>618</v>
      </c>
      <c r="C66" s="4" t="s">
        <v>94</v>
      </c>
      <c r="D66" s="4" t="s">
        <v>619</v>
      </c>
      <c r="E66" s="4" t="s">
        <v>620</v>
      </c>
      <c r="F66" s="4" t="s">
        <v>65</v>
      </c>
      <c r="G66" s="4" t="s">
        <v>621</v>
      </c>
      <c r="H66" s="4" t="s">
        <v>622</v>
      </c>
      <c r="I66" s="4">
        <v>1700</v>
      </c>
      <c r="J66" s="4">
        <v>2350</v>
      </c>
      <c r="K66" s="4">
        <v>3550</v>
      </c>
      <c r="L66" s="4">
        <v>475</v>
      </c>
      <c r="M66" s="4" t="s">
        <v>48</v>
      </c>
      <c r="N66" s="4" t="s">
        <v>40</v>
      </c>
      <c r="O66" s="4" t="s">
        <v>50</v>
      </c>
      <c r="P66" s="4">
        <v>105</v>
      </c>
      <c r="Q66" s="4" t="s">
        <v>623</v>
      </c>
      <c r="R66" s="4" t="s">
        <v>624</v>
      </c>
      <c r="S66" s="4" t="s">
        <v>50</v>
      </c>
      <c r="T66" s="4" t="s">
        <v>50</v>
      </c>
      <c r="U66" s="4" t="s">
        <v>50</v>
      </c>
      <c r="V66" s="4" t="s">
        <v>608</v>
      </c>
      <c r="W66" s="4" t="s">
        <v>54</v>
      </c>
      <c r="X66" s="4" t="s">
        <v>55</v>
      </c>
      <c r="Y66" s="4" t="s">
        <v>69</v>
      </c>
      <c r="Z66" s="4" t="s">
        <v>70</v>
      </c>
      <c r="AA66" s="4">
        <v>6</v>
      </c>
      <c r="AB66" s="4">
        <f>ROUND(I66*(1-AA66/100),-1)</f>
        <v>1600</v>
      </c>
      <c r="AC66" s="4">
        <f t="shared" ref="AC66:AC129" si="1">I66</f>
        <v>1700</v>
      </c>
      <c r="AD66" s="4">
        <v>18</v>
      </c>
      <c r="AE66" s="4">
        <v>15</v>
      </c>
      <c r="AF66" s="4">
        <v>6</v>
      </c>
      <c r="AG66" s="4">
        <v>45</v>
      </c>
      <c r="AH66" s="4">
        <v>150</v>
      </c>
      <c r="AI66" s="4">
        <f>ROUND(300*I66*(1+AE66/100+AF66/100),0)</f>
        <v>617100</v>
      </c>
      <c r="AJ66" s="4">
        <v>4</v>
      </c>
      <c r="AK66" s="4">
        <v>27</v>
      </c>
      <c r="AL66" s="4" t="s">
        <v>58</v>
      </c>
      <c r="AM66" s="4" t="s">
        <v>59</v>
      </c>
    </row>
    <row r="67" spans="1:39" ht="228">
      <c r="A67" s="4" t="s">
        <v>625</v>
      </c>
      <c r="B67" s="4" t="s">
        <v>626</v>
      </c>
      <c r="C67" s="4" t="s">
        <v>94</v>
      </c>
      <c r="D67" s="4" t="s">
        <v>627</v>
      </c>
      <c r="E67" s="4" t="s">
        <v>628</v>
      </c>
      <c r="F67" s="4" t="s">
        <v>65</v>
      </c>
      <c r="G67" s="4" t="s">
        <v>629</v>
      </c>
      <c r="H67" s="4" t="s">
        <v>630</v>
      </c>
      <c r="I67" s="4">
        <v>1600</v>
      </c>
      <c r="J67" s="4">
        <v>2450</v>
      </c>
      <c r="K67" s="4">
        <v>3950</v>
      </c>
      <c r="L67" s="4">
        <v>525</v>
      </c>
      <c r="M67" s="4" t="s">
        <v>48</v>
      </c>
      <c r="N67" s="4" t="s">
        <v>40</v>
      </c>
      <c r="O67" s="4" t="s">
        <v>50</v>
      </c>
      <c r="P67" s="4">
        <v>125</v>
      </c>
      <c r="Q67" s="4" t="s">
        <v>631</v>
      </c>
      <c r="R67" s="4" t="s">
        <v>632</v>
      </c>
      <c r="S67" s="4" t="s">
        <v>50</v>
      </c>
      <c r="T67" s="4" t="s">
        <v>50</v>
      </c>
      <c r="U67" s="4" t="s">
        <v>50</v>
      </c>
      <c r="V67" s="4" t="s">
        <v>608</v>
      </c>
      <c r="W67" s="4" t="s">
        <v>54</v>
      </c>
      <c r="X67" s="4" t="s">
        <v>55</v>
      </c>
      <c r="Y67" s="4" t="s">
        <v>69</v>
      </c>
      <c r="Z67" s="4" t="s">
        <v>70</v>
      </c>
      <c r="AA67" s="4">
        <v>7</v>
      </c>
      <c r="AB67" s="4">
        <f>ROUND(I67*(1-AA67/100),-1)</f>
        <v>1490</v>
      </c>
      <c r="AC67" s="4">
        <f t="shared" si="1"/>
        <v>1600</v>
      </c>
      <c r="AD67" s="4">
        <v>13</v>
      </c>
      <c r="AE67" s="4">
        <v>15</v>
      </c>
      <c r="AF67" s="4">
        <v>5</v>
      </c>
      <c r="AG67" s="4">
        <v>37</v>
      </c>
      <c r="AH67" s="4">
        <v>150</v>
      </c>
      <c r="AI67" s="4">
        <f>ROUND(300*I67*(1+AE67/100+AF67/100),0)</f>
        <v>576000</v>
      </c>
      <c r="AJ67" s="4">
        <v>3.9</v>
      </c>
      <c r="AK67" s="4">
        <v>837</v>
      </c>
      <c r="AL67" s="4" t="s">
        <v>58</v>
      </c>
      <c r="AM67" s="4" t="s">
        <v>59</v>
      </c>
    </row>
    <row r="68" spans="1:39" ht="228">
      <c r="A68" s="4" t="s">
        <v>633</v>
      </c>
      <c r="B68" s="4" t="s">
        <v>634</v>
      </c>
      <c r="C68" s="4" t="s">
        <v>94</v>
      </c>
      <c r="D68" s="4" t="s">
        <v>635</v>
      </c>
      <c r="E68" s="4" t="s">
        <v>636</v>
      </c>
      <c r="F68" s="4" t="s">
        <v>65</v>
      </c>
      <c r="G68" s="4" t="s">
        <v>637</v>
      </c>
      <c r="H68" s="4" t="s">
        <v>638</v>
      </c>
      <c r="I68" s="4">
        <v>2050</v>
      </c>
      <c r="J68" s="4">
        <v>2900</v>
      </c>
      <c r="K68" s="4">
        <v>4300</v>
      </c>
      <c r="L68" s="4">
        <v>525</v>
      </c>
      <c r="M68" s="4" t="s">
        <v>48</v>
      </c>
      <c r="N68" s="4" t="s">
        <v>40</v>
      </c>
      <c r="O68" s="4" t="s">
        <v>50</v>
      </c>
      <c r="P68" s="4">
        <v>120</v>
      </c>
      <c r="Q68" s="4" t="s">
        <v>639</v>
      </c>
      <c r="R68" s="4" t="s">
        <v>640</v>
      </c>
      <c r="S68" s="4" t="s">
        <v>50</v>
      </c>
      <c r="T68" s="4" t="s">
        <v>50</v>
      </c>
      <c r="U68" s="4" t="s">
        <v>50</v>
      </c>
      <c r="V68" s="4" t="s">
        <v>608</v>
      </c>
      <c r="W68" s="4" t="s">
        <v>54</v>
      </c>
      <c r="X68" s="4" t="s">
        <v>55</v>
      </c>
      <c r="Y68" s="4" t="s">
        <v>69</v>
      </c>
      <c r="Z68" s="4" t="s">
        <v>70</v>
      </c>
      <c r="AA68" s="4">
        <v>11</v>
      </c>
      <c r="AB68" s="4">
        <f>ROUND(I68*(1-AA68/100),-1)</f>
        <v>1820</v>
      </c>
      <c r="AC68" s="4">
        <f t="shared" si="1"/>
        <v>2050</v>
      </c>
      <c r="AD68" s="4">
        <v>19</v>
      </c>
      <c r="AE68" s="4">
        <v>15</v>
      </c>
      <c r="AF68" s="4">
        <v>8</v>
      </c>
      <c r="AG68" s="4">
        <v>35</v>
      </c>
      <c r="AH68" s="4">
        <v>150</v>
      </c>
      <c r="AI68" s="4">
        <f>ROUND(300*I68*(1+AE68/100+AF68/100),0)</f>
        <v>756450</v>
      </c>
      <c r="AJ68" s="4">
        <v>3.9</v>
      </c>
      <c r="AK68" s="4">
        <v>100</v>
      </c>
      <c r="AL68" s="4" t="s">
        <v>58</v>
      </c>
      <c r="AM68" s="4" t="s">
        <v>59</v>
      </c>
    </row>
    <row r="69" spans="1:39" ht="228">
      <c r="A69" s="4" t="s">
        <v>641</v>
      </c>
      <c r="B69" s="4" t="s">
        <v>642</v>
      </c>
      <c r="C69" s="4" t="s">
        <v>94</v>
      </c>
      <c r="D69" s="4" t="s">
        <v>643</v>
      </c>
      <c r="E69" s="4" t="s">
        <v>644</v>
      </c>
      <c r="F69" s="4" t="s">
        <v>65</v>
      </c>
      <c r="G69" s="4" t="s">
        <v>645</v>
      </c>
      <c r="H69" s="4" t="s">
        <v>646</v>
      </c>
      <c r="I69" s="4">
        <v>1700</v>
      </c>
      <c r="J69" s="4">
        <v>2550</v>
      </c>
      <c r="K69" s="4">
        <v>4650</v>
      </c>
      <c r="L69" s="4">
        <v>575</v>
      </c>
      <c r="M69" s="4" t="s">
        <v>48</v>
      </c>
      <c r="N69" s="4" t="s">
        <v>60</v>
      </c>
      <c r="O69" s="4" t="s">
        <v>50</v>
      </c>
      <c r="P69" s="4">
        <v>125</v>
      </c>
      <c r="Q69" s="4" t="s">
        <v>647</v>
      </c>
      <c r="R69" s="4" t="s">
        <v>648</v>
      </c>
      <c r="S69" s="4" t="s">
        <v>50</v>
      </c>
      <c r="T69" s="4" t="s">
        <v>50</v>
      </c>
      <c r="U69" s="4" t="s">
        <v>50</v>
      </c>
      <c r="V69" s="4" t="s">
        <v>649</v>
      </c>
      <c r="W69" s="4" t="s">
        <v>54</v>
      </c>
      <c r="X69" s="4" t="s">
        <v>55</v>
      </c>
      <c r="Y69" s="4" t="s">
        <v>56</v>
      </c>
      <c r="Z69" s="4" t="s">
        <v>70</v>
      </c>
      <c r="AA69" s="4">
        <v>11</v>
      </c>
      <c r="AB69" s="4">
        <f>ROUND(I69*(1-AA69/100),-1)</f>
        <v>1510</v>
      </c>
      <c r="AC69" s="4">
        <f t="shared" si="1"/>
        <v>1700</v>
      </c>
      <c r="AD69" s="4">
        <v>19</v>
      </c>
      <c r="AE69" s="4">
        <v>15</v>
      </c>
      <c r="AF69" s="4">
        <v>8</v>
      </c>
      <c r="AG69" s="4">
        <v>37</v>
      </c>
      <c r="AH69" s="4">
        <v>200</v>
      </c>
      <c r="AI69" s="4">
        <f>ROUND(300*I69*(1+AE69/100+AF69/100),0)</f>
        <v>627300</v>
      </c>
      <c r="AJ69" s="4">
        <v>4.8</v>
      </c>
      <c r="AK69" s="4">
        <v>290</v>
      </c>
      <c r="AL69" s="4" t="s">
        <v>58</v>
      </c>
      <c r="AM69" s="4" t="s">
        <v>59</v>
      </c>
    </row>
    <row r="70" spans="1:39" ht="228">
      <c r="A70" s="4" t="s">
        <v>650</v>
      </c>
      <c r="B70" s="4" t="s">
        <v>651</v>
      </c>
      <c r="C70" s="4" t="s">
        <v>94</v>
      </c>
      <c r="D70" s="4" t="s">
        <v>652</v>
      </c>
      <c r="E70" s="4" t="s">
        <v>653</v>
      </c>
      <c r="F70" s="4" t="s">
        <v>65</v>
      </c>
      <c r="G70" s="4" t="s">
        <v>654</v>
      </c>
      <c r="H70" s="4" t="s">
        <v>655</v>
      </c>
      <c r="I70" s="4">
        <v>1700</v>
      </c>
      <c r="J70" s="4">
        <v>2150</v>
      </c>
      <c r="K70" s="4">
        <v>3950</v>
      </c>
      <c r="L70" s="4">
        <v>500</v>
      </c>
      <c r="M70" s="4" t="s">
        <v>48</v>
      </c>
      <c r="N70" s="4" t="s">
        <v>40</v>
      </c>
      <c r="O70" s="4" t="s">
        <v>50</v>
      </c>
      <c r="P70" s="4">
        <v>110</v>
      </c>
      <c r="Q70" s="4" t="s">
        <v>656</v>
      </c>
      <c r="R70" s="4" t="s">
        <v>657</v>
      </c>
      <c r="S70" s="4" t="s">
        <v>50</v>
      </c>
      <c r="T70" s="4" t="s">
        <v>50</v>
      </c>
      <c r="U70" s="4" t="s">
        <v>50</v>
      </c>
      <c r="V70" s="4" t="s">
        <v>608</v>
      </c>
      <c r="W70" s="4" t="s">
        <v>54</v>
      </c>
      <c r="X70" s="4" t="s">
        <v>55</v>
      </c>
      <c r="Y70" s="4" t="s">
        <v>69</v>
      </c>
      <c r="Z70" s="4" t="s">
        <v>70</v>
      </c>
      <c r="AA70" s="4">
        <v>10</v>
      </c>
      <c r="AB70" s="4">
        <f>ROUND(I70*(1-AA70/100),-1)</f>
        <v>1530</v>
      </c>
      <c r="AC70" s="4">
        <f t="shared" si="1"/>
        <v>1700</v>
      </c>
      <c r="AD70" s="4">
        <v>14</v>
      </c>
      <c r="AE70" s="4">
        <v>15</v>
      </c>
      <c r="AF70" s="4">
        <v>7</v>
      </c>
      <c r="AG70" s="4">
        <v>31</v>
      </c>
      <c r="AH70" s="4">
        <v>175</v>
      </c>
      <c r="AI70" s="4">
        <f>ROUND(300*I70*(1+AE70/100+AF70/100),0)</f>
        <v>622200</v>
      </c>
      <c r="AJ70" s="4">
        <v>4.5999999999999996</v>
      </c>
      <c r="AK70" s="4">
        <v>687</v>
      </c>
      <c r="AL70" s="4" t="s">
        <v>58</v>
      </c>
      <c r="AM70" s="4" t="s">
        <v>59</v>
      </c>
    </row>
    <row r="71" spans="1:39" ht="256.5">
      <c r="A71" s="4" t="s">
        <v>658</v>
      </c>
      <c r="B71" s="4" t="s">
        <v>659</v>
      </c>
      <c r="C71" s="4" t="s">
        <v>94</v>
      </c>
      <c r="D71" s="4" t="s">
        <v>660</v>
      </c>
      <c r="E71" s="4" t="s">
        <v>661</v>
      </c>
      <c r="F71" s="4" t="s">
        <v>65</v>
      </c>
      <c r="G71" s="4" t="s">
        <v>662</v>
      </c>
      <c r="H71" s="4" t="s">
        <v>663</v>
      </c>
      <c r="I71" s="4">
        <v>1800</v>
      </c>
      <c r="J71" s="4">
        <v>2500</v>
      </c>
      <c r="K71" s="4">
        <v>3750</v>
      </c>
      <c r="L71" s="4">
        <v>500</v>
      </c>
      <c r="M71" s="4" t="s">
        <v>40</v>
      </c>
      <c r="N71" s="4" t="s">
        <v>40</v>
      </c>
      <c r="O71" s="4" t="s">
        <v>50</v>
      </c>
      <c r="P71" s="4">
        <v>110</v>
      </c>
      <c r="Q71" s="4" t="s">
        <v>664</v>
      </c>
      <c r="R71" s="4" t="s">
        <v>665</v>
      </c>
      <c r="S71" s="4" t="s">
        <v>50</v>
      </c>
      <c r="T71" s="4" t="s">
        <v>50</v>
      </c>
      <c r="U71" s="4" t="s">
        <v>50</v>
      </c>
      <c r="V71" s="4" t="s">
        <v>666</v>
      </c>
      <c r="W71" s="4" t="s">
        <v>54</v>
      </c>
      <c r="X71" s="4" t="s">
        <v>55</v>
      </c>
      <c r="Y71" s="4" t="s">
        <v>81</v>
      </c>
      <c r="Z71" s="4" t="s">
        <v>70</v>
      </c>
      <c r="AA71" s="4">
        <v>8</v>
      </c>
      <c r="AB71" s="4">
        <f>ROUND(I71*(1-AA71/100),-1)</f>
        <v>1660</v>
      </c>
      <c r="AC71" s="4">
        <f t="shared" si="1"/>
        <v>1800</v>
      </c>
      <c r="AD71" s="4">
        <v>15</v>
      </c>
      <c r="AE71" s="4">
        <v>15</v>
      </c>
      <c r="AF71" s="4">
        <v>10</v>
      </c>
      <c r="AG71" s="4">
        <v>38</v>
      </c>
      <c r="AH71" s="4">
        <v>150</v>
      </c>
      <c r="AI71" s="4">
        <f>ROUND(300*I71*(1+AE71/100+AF71/100),0)</f>
        <v>675000</v>
      </c>
      <c r="AJ71" s="4">
        <v>4</v>
      </c>
      <c r="AK71" s="4">
        <v>353</v>
      </c>
      <c r="AL71" s="4" t="s">
        <v>58</v>
      </c>
      <c r="AM71" s="4" t="s">
        <v>59</v>
      </c>
    </row>
    <row r="72" spans="1:39" ht="228">
      <c r="A72" s="4" t="s">
        <v>667</v>
      </c>
      <c r="B72" s="4" t="s">
        <v>668</v>
      </c>
      <c r="C72" s="4" t="s">
        <v>94</v>
      </c>
      <c r="D72" s="4" t="s">
        <v>669</v>
      </c>
      <c r="E72" s="4" t="s">
        <v>670</v>
      </c>
      <c r="F72" s="4" t="s">
        <v>65</v>
      </c>
      <c r="G72" s="4" t="s">
        <v>671</v>
      </c>
      <c r="H72" s="4" t="s">
        <v>672</v>
      </c>
      <c r="I72" s="4">
        <v>1900</v>
      </c>
      <c r="J72" s="4">
        <v>2350</v>
      </c>
      <c r="K72" s="4">
        <v>3350</v>
      </c>
      <c r="L72" s="4">
        <v>525</v>
      </c>
      <c r="M72" s="4" t="s">
        <v>48</v>
      </c>
      <c r="N72" s="4" t="s">
        <v>60</v>
      </c>
      <c r="O72" s="4" t="s">
        <v>50</v>
      </c>
      <c r="P72" s="4">
        <v>115</v>
      </c>
      <c r="Q72" s="4" t="s">
        <v>673</v>
      </c>
      <c r="R72" s="4" t="s">
        <v>674</v>
      </c>
      <c r="S72" s="4" t="s">
        <v>50</v>
      </c>
      <c r="T72" s="4" t="s">
        <v>50</v>
      </c>
      <c r="U72" s="4" t="s">
        <v>50</v>
      </c>
      <c r="V72" s="4" t="s">
        <v>649</v>
      </c>
      <c r="W72" s="4" t="s">
        <v>54</v>
      </c>
      <c r="X72" s="4" t="s">
        <v>55</v>
      </c>
      <c r="Y72" s="4" t="s">
        <v>56</v>
      </c>
      <c r="Z72" s="4" t="s">
        <v>70</v>
      </c>
      <c r="AA72" s="4">
        <v>8</v>
      </c>
      <c r="AB72" s="4">
        <f>ROUND(I72*(1-AA72/100),-1)</f>
        <v>1750</v>
      </c>
      <c r="AC72" s="4">
        <f t="shared" si="1"/>
        <v>1900</v>
      </c>
      <c r="AD72" s="4">
        <v>16</v>
      </c>
      <c r="AE72" s="4">
        <v>15</v>
      </c>
      <c r="AF72" s="4">
        <v>9</v>
      </c>
      <c r="AG72" s="4">
        <v>45</v>
      </c>
      <c r="AH72" s="4">
        <v>175</v>
      </c>
      <c r="AI72" s="4">
        <f>ROUND(300*I72*(1+AE72/100+AF72/100),0)</f>
        <v>706800</v>
      </c>
      <c r="AJ72" s="4">
        <v>4.3</v>
      </c>
      <c r="AK72" s="4">
        <v>606</v>
      </c>
      <c r="AL72" s="4" t="s">
        <v>58</v>
      </c>
      <c r="AM72" s="4" t="s">
        <v>59</v>
      </c>
    </row>
    <row r="73" spans="1:39" ht="213.75">
      <c r="A73" s="4" t="s">
        <v>675</v>
      </c>
      <c r="B73" s="4" t="s">
        <v>676</v>
      </c>
      <c r="C73" s="4" t="s">
        <v>94</v>
      </c>
      <c r="D73" s="4" t="s">
        <v>677</v>
      </c>
      <c r="E73" s="4" t="s">
        <v>678</v>
      </c>
      <c r="F73" s="4" t="s">
        <v>65</v>
      </c>
      <c r="G73" s="4" t="s">
        <v>679</v>
      </c>
      <c r="H73" s="4" t="s">
        <v>680</v>
      </c>
      <c r="I73" s="4">
        <v>1900</v>
      </c>
      <c r="J73" s="4">
        <v>2600</v>
      </c>
      <c r="K73" s="4">
        <v>3600</v>
      </c>
      <c r="L73" s="4">
        <v>475</v>
      </c>
      <c r="M73" s="4" t="s">
        <v>48</v>
      </c>
      <c r="N73" s="4" t="s">
        <v>40</v>
      </c>
      <c r="O73" s="4" t="s">
        <v>50</v>
      </c>
      <c r="P73" s="4">
        <v>90</v>
      </c>
      <c r="Q73" s="4" t="s">
        <v>681</v>
      </c>
      <c r="R73" s="4" t="s">
        <v>682</v>
      </c>
      <c r="S73" s="4" t="s">
        <v>50</v>
      </c>
      <c r="T73" s="4" t="s">
        <v>50</v>
      </c>
      <c r="U73" s="4" t="s">
        <v>50</v>
      </c>
      <c r="V73" s="4" t="s">
        <v>608</v>
      </c>
      <c r="W73" s="4" t="s">
        <v>54</v>
      </c>
      <c r="X73" s="4" t="s">
        <v>55</v>
      </c>
      <c r="Y73" s="4" t="s">
        <v>69</v>
      </c>
      <c r="Z73" s="4" t="s">
        <v>70</v>
      </c>
      <c r="AA73" s="4">
        <v>12</v>
      </c>
      <c r="AB73" s="4">
        <f>ROUND(I73*(1-AA73/100),-1)</f>
        <v>1670</v>
      </c>
      <c r="AC73" s="4">
        <f t="shared" si="1"/>
        <v>1900</v>
      </c>
      <c r="AD73" s="4">
        <v>21</v>
      </c>
      <c r="AE73" s="4">
        <v>15</v>
      </c>
      <c r="AF73" s="4">
        <v>10</v>
      </c>
      <c r="AG73" s="4">
        <v>39</v>
      </c>
      <c r="AH73" s="4">
        <v>150</v>
      </c>
      <c r="AI73" s="4">
        <f>ROUND(300*I73*(1+AE73/100+AF73/100),0)</f>
        <v>712500</v>
      </c>
      <c r="AJ73" s="4">
        <v>4.7</v>
      </c>
      <c r="AK73" s="4">
        <v>828</v>
      </c>
      <c r="AL73" s="4" t="s">
        <v>58</v>
      </c>
      <c r="AM73" s="4" t="s">
        <v>59</v>
      </c>
    </row>
    <row r="74" spans="1:39" ht="228">
      <c r="A74" s="4" t="s">
        <v>683</v>
      </c>
      <c r="B74" s="4" t="s">
        <v>684</v>
      </c>
      <c r="C74" s="4" t="s">
        <v>94</v>
      </c>
      <c r="D74" s="4" t="s">
        <v>685</v>
      </c>
      <c r="E74" s="4" t="s">
        <v>686</v>
      </c>
      <c r="F74" s="4" t="s">
        <v>65</v>
      </c>
      <c r="G74" s="4" t="s">
        <v>47</v>
      </c>
      <c r="H74" s="4" t="s">
        <v>687</v>
      </c>
      <c r="I74" s="4">
        <v>1750</v>
      </c>
      <c r="J74" s="4">
        <v>2700</v>
      </c>
      <c r="K74" s="4">
        <v>4550</v>
      </c>
      <c r="L74" s="4">
        <v>500</v>
      </c>
      <c r="M74" s="4" t="s">
        <v>48</v>
      </c>
      <c r="N74" s="4" t="s">
        <v>40</v>
      </c>
      <c r="O74" s="4" t="s">
        <v>50</v>
      </c>
      <c r="P74" s="4">
        <v>115</v>
      </c>
      <c r="Q74" s="4" t="s">
        <v>688</v>
      </c>
      <c r="R74" s="4" t="s">
        <v>689</v>
      </c>
      <c r="S74" s="4" t="s">
        <v>50</v>
      </c>
      <c r="T74" s="4" t="s">
        <v>50</v>
      </c>
      <c r="U74" s="4" t="s">
        <v>50</v>
      </c>
      <c r="V74" s="4" t="s">
        <v>608</v>
      </c>
      <c r="W74" s="4" t="s">
        <v>54</v>
      </c>
      <c r="X74" s="4" t="s">
        <v>55</v>
      </c>
      <c r="Y74" s="4" t="s">
        <v>69</v>
      </c>
      <c r="Z74" s="4" t="s">
        <v>70</v>
      </c>
      <c r="AA74" s="4">
        <v>8</v>
      </c>
      <c r="AB74" s="4">
        <f>ROUND(I74*(1-AA74/100),-1)</f>
        <v>1610</v>
      </c>
      <c r="AC74" s="4">
        <f t="shared" si="1"/>
        <v>1750</v>
      </c>
      <c r="AD74" s="4">
        <v>14</v>
      </c>
      <c r="AE74" s="4">
        <v>15</v>
      </c>
      <c r="AF74" s="4">
        <v>10</v>
      </c>
      <c r="AG74" s="4">
        <v>42</v>
      </c>
      <c r="AH74" s="4">
        <v>200</v>
      </c>
      <c r="AI74" s="4">
        <f>ROUND(300*I74*(1+AE74/100+AF74/100),0)</f>
        <v>656250</v>
      </c>
      <c r="AJ74" s="4">
        <v>4.2</v>
      </c>
      <c r="AK74" s="4">
        <v>528</v>
      </c>
      <c r="AL74" s="4" t="s">
        <v>58</v>
      </c>
      <c r="AM74" s="4" t="s">
        <v>59</v>
      </c>
    </row>
    <row r="75" spans="1:39" ht="228">
      <c r="A75" s="4" t="s">
        <v>690</v>
      </c>
      <c r="B75" s="4" t="s">
        <v>691</v>
      </c>
      <c r="C75" s="4" t="s">
        <v>72</v>
      </c>
      <c r="D75" s="4" t="s">
        <v>692</v>
      </c>
      <c r="E75" s="4" t="s">
        <v>693</v>
      </c>
      <c r="F75" s="4" t="s">
        <v>65</v>
      </c>
      <c r="G75" s="4" t="s">
        <v>694</v>
      </c>
      <c r="H75" s="4" t="s">
        <v>695</v>
      </c>
      <c r="I75" s="4">
        <v>2200</v>
      </c>
      <c r="J75" s="4">
        <v>2950</v>
      </c>
      <c r="K75" s="4">
        <v>4550</v>
      </c>
      <c r="L75" s="4">
        <v>475</v>
      </c>
      <c r="M75" s="4" t="s">
        <v>48</v>
      </c>
      <c r="N75" s="4" t="s">
        <v>40</v>
      </c>
      <c r="O75" s="4" t="s">
        <v>50</v>
      </c>
      <c r="P75" s="4">
        <v>130</v>
      </c>
      <c r="Q75" s="4" t="s">
        <v>51</v>
      </c>
      <c r="R75" s="4" t="s">
        <v>696</v>
      </c>
      <c r="S75" s="4" t="s">
        <v>50</v>
      </c>
      <c r="T75" s="4" t="s">
        <v>50</v>
      </c>
      <c r="U75" s="4" t="s">
        <v>50</v>
      </c>
      <c r="V75" s="4" t="s">
        <v>697</v>
      </c>
      <c r="W75" s="4" t="s">
        <v>54</v>
      </c>
      <c r="X75" s="4" t="s">
        <v>55</v>
      </c>
      <c r="Y75" s="4" t="s">
        <v>69</v>
      </c>
      <c r="Z75" s="4" t="s">
        <v>57</v>
      </c>
      <c r="AA75" s="4">
        <v>12</v>
      </c>
      <c r="AB75" s="4">
        <f>ROUND(I75*(1-AA75/100),-1)</f>
        <v>1940</v>
      </c>
      <c r="AC75" s="4">
        <f t="shared" si="1"/>
        <v>2200</v>
      </c>
      <c r="AD75" s="4">
        <v>21</v>
      </c>
      <c r="AE75" s="4">
        <v>15</v>
      </c>
      <c r="AF75" s="4">
        <v>8</v>
      </c>
      <c r="AG75" s="4">
        <v>44</v>
      </c>
      <c r="AH75" s="4">
        <v>175</v>
      </c>
      <c r="AI75" s="4">
        <f>ROUND(300*I75*(1+AE75/100+AF75/100),0)</f>
        <v>811800</v>
      </c>
      <c r="AJ75" s="4">
        <v>4.5</v>
      </c>
      <c r="AK75" s="4">
        <v>468</v>
      </c>
      <c r="AL75" s="4" t="s">
        <v>58</v>
      </c>
      <c r="AM75" s="4" t="s">
        <v>59</v>
      </c>
    </row>
    <row r="76" spans="1:39" ht="228">
      <c r="A76" s="4" t="s">
        <v>698</v>
      </c>
      <c r="B76" s="4" t="s">
        <v>699</v>
      </c>
      <c r="C76" s="4" t="s">
        <v>700</v>
      </c>
      <c r="D76" s="4" t="s">
        <v>701</v>
      </c>
      <c r="E76" s="4" t="s">
        <v>678</v>
      </c>
      <c r="F76" s="4" t="s">
        <v>65</v>
      </c>
      <c r="G76" s="4" t="s">
        <v>679</v>
      </c>
      <c r="H76" s="4" t="s">
        <v>702</v>
      </c>
      <c r="I76" s="4">
        <v>1400</v>
      </c>
      <c r="J76" s="4">
        <v>2150</v>
      </c>
      <c r="K76" s="4">
        <v>3350</v>
      </c>
      <c r="L76" s="4">
        <v>550</v>
      </c>
      <c r="M76" s="4" t="s">
        <v>48</v>
      </c>
      <c r="N76" s="4" t="s">
        <v>40</v>
      </c>
      <c r="O76" s="4" t="s">
        <v>50</v>
      </c>
      <c r="P76" s="4">
        <v>110</v>
      </c>
      <c r="Q76" s="4" t="s">
        <v>703</v>
      </c>
      <c r="R76" s="4" t="s">
        <v>704</v>
      </c>
      <c r="S76" s="4" t="s">
        <v>50</v>
      </c>
      <c r="T76" s="4" t="s">
        <v>50</v>
      </c>
      <c r="U76" s="4" t="s">
        <v>50</v>
      </c>
      <c r="V76" s="4" t="s">
        <v>705</v>
      </c>
      <c r="W76" s="4" t="s">
        <v>54</v>
      </c>
      <c r="X76" s="4" t="s">
        <v>55</v>
      </c>
      <c r="Y76" s="4" t="s">
        <v>69</v>
      </c>
      <c r="Z76" s="4" t="s">
        <v>706</v>
      </c>
      <c r="AA76" s="4">
        <v>11</v>
      </c>
      <c r="AB76" s="4">
        <f>ROUND(I76*(1-AA76/100),-1)</f>
        <v>1250</v>
      </c>
      <c r="AC76" s="4">
        <f t="shared" si="1"/>
        <v>1400</v>
      </c>
      <c r="AD76" s="4">
        <v>19</v>
      </c>
      <c r="AE76" s="4">
        <v>15</v>
      </c>
      <c r="AF76" s="4">
        <v>5</v>
      </c>
      <c r="AG76" s="4">
        <v>32</v>
      </c>
      <c r="AH76" s="4">
        <v>200</v>
      </c>
      <c r="AI76" s="4">
        <f>ROUND(300*I76*(1+AE76/100+AF76/100),0)</f>
        <v>504000</v>
      </c>
      <c r="AJ76" s="4">
        <v>3.9</v>
      </c>
      <c r="AK76" s="4">
        <v>54</v>
      </c>
      <c r="AL76" s="4" t="s">
        <v>58</v>
      </c>
      <c r="AM76" s="4" t="s">
        <v>59</v>
      </c>
    </row>
    <row r="77" spans="1:39" ht="256.5">
      <c r="A77" s="4" t="s">
        <v>707</v>
      </c>
      <c r="B77" s="4" t="s">
        <v>708</v>
      </c>
      <c r="C77" s="4" t="s">
        <v>94</v>
      </c>
      <c r="D77" s="4" t="s">
        <v>709</v>
      </c>
      <c r="E77" s="4" t="s">
        <v>710</v>
      </c>
      <c r="F77" s="4" t="s">
        <v>65</v>
      </c>
      <c r="G77" s="4" t="s">
        <v>711</v>
      </c>
      <c r="H77" s="4" t="s">
        <v>712</v>
      </c>
      <c r="I77" s="4">
        <v>1850</v>
      </c>
      <c r="J77" s="4">
        <v>2300</v>
      </c>
      <c r="K77" s="4">
        <v>4100</v>
      </c>
      <c r="L77" s="4">
        <v>525</v>
      </c>
      <c r="M77" s="4" t="s">
        <v>40</v>
      </c>
      <c r="N77" s="4" t="s">
        <v>40</v>
      </c>
      <c r="O77" s="4" t="s">
        <v>50</v>
      </c>
      <c r="P77" s="4">
        <v>105</v>
      </c>
      <c r="Q77" s="4" t="s">
        <v>713</v>
      </c>
      <c r="R77" s="4" t="s">
        <v>714</v>
      </c>
      <c r="S77" s="4" t="s">
        <v>50</v>
      </c>
      <c r="T77" s="4" t="s">
        <v>50</v>
      </c>
      <c r="U77" s="4" t="s">
        <v>50</v>
      </c>
      <c r="V77" s="4" t="s">
        <v>715</v>
      </c>
      <c r="W77" s="4" t="s">
        <v>54</v>
      </c>
      <c r="X77" s="4" t="s">
        <v>55</v>
      </c>
      <c r="Y77" s="4" t="s">
        <v>81</v>
      </c>
      <c r="Z77" s="4" t="s">
        <v>70</v>
      </c>
      <c r="AA77" s="4">
        <v>6</v>
      </c>
      <c r="AB77" s="4">
        <f>ROUND(I77*(1-AA77/100),-1)</f>
        <v>1740</v>
      </c>
      <c r="AC77" s="4">
        <f t="shared" si="1"/>
        <v>1850</v>
      </c>
      <c r="AD77" s="4">
        <v>16</v>
      </c>
      <c r="AE77" s="4">
        <v>15</v>
      </c>
      <c r="AF77" s="4">
        <v>7</v>
      </c>
      <c r="AG77" s="4">
        <v>40</v>
      </c>
      <c r="AH77" s="4">
        <v>175</v>
      </c>
      <c r="AI77" s="4">
        <f>ROUND(300*I77*(1+AE77/100+AF77/100),0)</f>
        <v>677100</v>
      </c>
      <c r="AJ77" s="4">
        <v>4</v>
      </c>
      <c r="AK77" s="4">
        <v>440</v>
      </c>
      <c r="AL77" s="4" t="s">
        <v>58</v>
      </c>
      <c r="AM77" s="4" t="s">
        <v>59</v>
      </c>
    </row>
    <row r="78" spans="1:39" ht="228">
      <c r="A78" s="4" t="s">
        <v>716</v>
      </c>
      <c r="B78" s="4" t="s">
        <v>717</v>
      </c>
      <c r="C78" s="4" t="s">
        <v>94</v>
      </c>
      <c r="D78" s="4" t="s">
        <v>718</v>
      </c>
      <c r="E78" s="4" t="s">
        <v>719</v>
      </c>
      <c r="F78" s="4" t="s">
        <v>65</v>
      </c>
      <c r="G78" s="4" t="s">
        <v>720</v>
      </c>
      <c r="H78" s="4" t="s">
        <v>721</v>
      </c>
      <c r="I78" s="4">
        <v>1850</v>
      </c>
      <c r="J78" s="4">
        <v>2600</v>
      </c>
      <c r="K78" s="4">
        <v>4400</v>
      </c>
      <c r="L78" s="4">
        <v>475</v>
      </c>
      <c r="M78" s="4" t="s">
        <v>48</v>
      </c>
      <c r="N78" s="4" t="s">
        <v>40</v>
      </c>
      <c r="O78" s="4" t="s">
        <v>50</v>
      </c>
      <c r="P78" s="4">
        <v>110</v>
      </c>
      <c r="Q78" s="4" t="s">
        <v>722</v>
      </c>
      <c r="R78" s="4" t="s">
        <v>723</v>
      </c>
      <c r="S78" s="4" t="s">
        <v>50</v>
      </c>
      <c r="T78" s="4" t="s">
        <v>50</v>
      </c>
      <c r="U78" s="4" t="s">
        <v>50</v>
      </c>
      <c r="V78" s="4" t="s">
        <v>608</v>
      </c>
      <c r="W78" s="4" t="s">
        <v>54</v>
      </c>
      <c r="X78" s="4" t="s">
        <v>55</v>
      </c>
      <c r="Y78" s="4" t="s">
        <v>69</v>
      </c>
      <c r="Z78" s="4" t="s">
        <v>70</v>
      </c>
      <c r="AA78" s="4">
        <v>5</v>
      </c>
      <c r="AB78" s="4">
        <f>ROUND(I78*(1-AA78/100),-1)</f>
        <v>1760</v>
      </c>
      <c r="AC78" s="4">
        <f t="shared" si="1"/>
        <v>1850</v>
      </c>
      <c r="AD78" s="4">
        <v>17</v>
      </c>
      <c r="AE78" s="4">
        <v>15</v>
      </c>
      <c r="AF78" s="4">
        <v>5</v>
      </c>
      <c r="AG78" s="4">
        <v>35</v>
      </c>
      <c r="AH78" s="4">
        <v>150</v>
      </c>
      <c r="AI78" s="4">
        <f>ROUND(300*I78*(1+AE78/100+AF78/100),0)</f>
        <v>666000</v>
      </c>
      <c r="AJ78" s="4">
        <v>4.0999999999999996</v>
      </c>
      <c r="AK78" s="4">
        <v>188</v>
      </c>
      <c r="AL78" s="4" t="s">
        <v>58</v>
      </c>
      <c r="AM78" s="4" t="s">
        <v>59</v>
      </c>
    </row>
    <row r="79" spans="1:39" ht="213.75">
      <c r="A79" s="4" t="s">
        <v>724</v>
      </c>
      <c r="B79" s="4" t="s">
        <v>725</v>
      </c>
      <c r="C79" s="4" t="s">
        <v>700</v>
      </c>
      <c r="D79" s="4" t="s">
        <v>726</v>
      </c>
      <c r="E79" s="4" t="s">
        <v>727</v>
      </c>
      <c r="F79" s="4" t="s">
        <v>65</v>
      </c>
      <c r="G79" s="4" t="s">
        <v>728</v>
      </c>
      <c r="H79" s="4" t="s">
        <v>729</v>
      </c>
      <c r="I79" s="4">
        <v>1550</v>
      </c>
      <c r="J79" s="4">
        <v>2300</v>
      </c>
      <c r="K79" s="4">
        <v>3950</v>
      </c>
      <c r="L79" s="4">
        <v>475</v>
      </c>
      <c r="M79" s="4" t="s">
        <v>48</v>
      </c>
      <c r="N79" s="4" t="s">
        <v>60</v>
      </c>
      <c r="O79" s="4" t="s">
        <v>50</v>
      </c>
      <c r="P79" s="4">
        <v>95</v>
      </c>
      <c r="Q79" s="4" t="s">
        <v>730</v>
      </c>
      <c r="R79" s="4" t="s">
        <v>731</v>
      </c>
      <c r="S79" s="4" t="s">
        <v>50</v>
      </c>
      <c r="T79" s="4" t="s">
        <v>50</v>
      </c>
      <c r="U79" s="4" t="s">
        <v>50</v>
      </c>
      <c r="V79" s="4" t="s">
        <v>732</v>
      </c>
      <c r="W79" s="4" t="s">
        <v>54</v>
      </c>
      <c r="X79" s="4" t="s">
        <v>55</v>
      </c>
      <c r="Y79" s="4" t="s">
        <v>56</v>
      </c>
      <c r="Z79" s="4" t="s">
        <v>706</v>
      </c>
      <c r="AA79" s="4">
        <v>11</v>
      </c>
      <c r="AB79" s="4">
        <f>ROUND(I79*(1-AA79/100),-1)</f>
        <v>1380</v>
      </c>
      <c r="AC79" s="4">
        <f t="shared" si="1"/>
        <v>1550</v>
      </c>
      <c r="AD79" s="4">
        <v>13</v>
      </c>
      <c r="AE79" s="4">
        <v>15</v>
      </c>
      <c r="AF79" s="4">
        <v>5</v>
      </c>
      <c r="AG79" s="4">
        <v>27</v>
      </c>
      <c r="AH79" s="4">
        <v>125</v>
      </c>
      <c r="AI79" s="4">
        <f>ROUND(300*I79*(1+AE79/100+AF79/100),0)</f>
        <v>558000</v>
      </c>
      <c r="AJ79" s="4">
        <v>4.3</v>
      </c>
      <c r="AK79" s="4">
        <v>10</v>
      </c>
      <c r="AL79" s="4" t="s">
        <v>58</v>
      </c>
      <c r="AM79" s="4" t="s">
        <v>59</v>
      </c>
    </row>
    <row r="80" spans="1:39" ht="228">
      <c r="A80" s="4" t="s">
        <v>733</v>
      </c>
      <c r="B80" s="4" t="s">
        <v>734</v>
      </c>
      <c r="C80" s="4" t="s">
        <v>72</v>
      </c>
      <c r="D80" s="4" t="s">
        <v>735</v>
      </c>
      <c r="E80" s="4" t="s">
        <v>736</v>
      </c>
      <c r="F80" s="4" t="s">
        <v>737</v>
      </c>
      <c r="G80" s="4" t="s">
        <v>738</v>
      </c>
      <c r="H80" s="4" t="s">
        <v>739</v>
      </c>
      <c r="I80" s="4">
        <v>2200</v>
      </c>
      <c r="J80" s="4">
        <v>3000</v>
      </c>
      <c r="K80" s="4">
        <v>4650</v>
      </c>
      <c r="L80" s="4">
        <v>475</v>
      </c>
      <c r="M80" s="4" t="s">
        <v>48</v>
      </c>
      <c r="N80" s="4" t="s">
        <v>60</v>
      </c>
      <c r="O80" s="4" t="s">
        <v>50</v>
      </c>
      <c r="P80" s="4">
        <v>105</v>
      </c>
      <c r="Q80" s="4" t="s">
        <v>740</v>
      </c>
      <c r="R80" s="4" t="s">
        <v>741</v>
      </c>
      <c r="S80" s="4" t="s">
        <v>50</v>
      </c>
      <c r="T80" s="4" t="s">
        <v>50</v>
      </c>
      <c r="U80" s="4" t="s">
        <v>50</v>
      </c>
      <c r="V80" s="4" t="s">
        <v>742</v>
      </c>
      <c r="W80" s="4" t="s">
        <v>54</v>
      </c>
      <c r="X80" s="4" t="s">
        <v>55</v>
      </c>
      <c r="Y80" s="4" t="s">
        <v>56</v>
      </c>
      <c r="Z80" s="4" t="s">
        <v>57</v>
      </c>
      <c r="AA80" s="4">
        <v>10</v>
      </c>
      <c r="AB80" s="4">
        <f>ROUND(I80*(1-AA80/100),-1)</f>
        <v>1980</v>
      </c>
      <c r="AC80" s="4">
        <f t="shared" si="1"/>
        <v>2200</v>
      </c>
      <c r="AD80" s="4">
        <v>15</v>
      </c>
      <c r="AE80" s="4">
        <v>15</v>
      </c>
      <c r="AF80" s="4">
        <v>7</v>
      </c>
      <c r="AG80" s="4">
        <v>42</v>
      </c>
      <c r="AH80" s="4">
        <v>150</v>
      </c>
      <c r="AI80" s="4">
        <f>ROUND(300*I80*(1+AE80/100+AF80/100),0)</f>
        <v>805200</v>
      </c>
      <c r="AJ80" s="4">
        <v>4.0999999999999996</v>
      </c>
      <c r="AK80" s="4">
        <v>457</v>
      </c>
      <c r="AL80" s="4" t="s">
        <v>58</v>
      </c>
      <c r="AM80" s="4" t="s">
        <v>59</v>
      </c>
    </row>
    <row r="81" spans="1:39" ht="213.75">
      <c r="A81" s="4" t="s">
        <v>743</v>
      </c>
      <c r="B81" s="4" t="s">
        <v>744</v>
      </c>
      <c r="C81" s="4" t="s">
        <v>94</v>
      </c>
      <c r="D81" s="4" t="s">
        <v>745</v>
      </c>
      <c r="E81" s="4" t="s">
        <v>746</v>
      </c>
      <c r="F81" s="4" t="s">
        <v>65</v>
      </c>
      <c r="G81" s="4" t="s">
        <v>747</v>
      </c>
      <c r="H81" s="4" t="s">
        <v>748</v>
      </c>
      <c r="I81" s="4">
        <v>1850</v>
      </c>
      <c r="J81" s="4">
        <v>2550</v>
      </c>
      <c r="K81" s="4">
        <v>4000</v>
      </c>
      <c r="L81" s="4">
        <v>475</v>
      </c>
      <c r="M81" s="4" t="s">
        <v>48</v>
      </c>
      <c r="N81" s="4" t="s">
        <v>40</v>
      </c>
      <c r="O81" s="4" t="s">
        <v>50</v>
      </c>
      <c r="P81" s="4">
        <v>95</v>
      </c>
      <c r="Q81" s="4" t="s">
        <v>749</v>
      </c>
      <c r="R81" s="4" t="s">
        <v>750</v>
      </c>
      <c r="S81" s="4" t="s">
        <v>50</v>
      </c>
      <c r="T81" s="4" t="s">
        <v>50</v>
      </c>
      <c r="U81" s="4" t="s">
        <v>50</v>
      </c>
      <c r="V81" s="4" t="s">
        <v>608</v>
      </c>
      <c r="W81" s="4" t="s">
        <v>54</v>
      </c>
      <c r="X81" s="4" t="s">
        <v>55</v>
      </c>
      <c r="Y81" s="4" t="s">
        <v>69</v>
      </c>
      <c r="Z81" s="4" t="s">
        <v>70</v>
      </c>
      <c r="AA81" s="4">
        <v>10</v>
      </c>
      <c r="AB81" s="4">
        <f>ROUND(I81*(1-AA81/100),-1)</f>
        <v>1670</v>
      </c>
      <c r="AC81" s="4">
        <f t="shared" si="1"/>
        <v>1850</v>
      </c>
      <c r="AD81" s="4">
        <v>10</v>
      </c>
      <c r="AE81" s="4">
        <v>15</v>
      </c>
      <c r="AF81" s="4">
        <v>7</v>
      </c>
      <c r="AG81" s="4">
        <v>30</v>
      </c>
      <c r="AH81" s="4">
        <v>175</v>
      </c>
      <c r="AI81" s="4">
        <f>ROUND(300*I81*(1+AE81/100+AF81/100),0)</f>
        <v>677100</v>
      </c>
      <c r="AJ81" s="4">
        <v>4.5</v>
      </c>
      <c r="AK81" s="4">
        <v>382</v>
      </c>
      <c r="AL81" s="4" t="s">
        <v>58</v>
      </c>
      <c r="AM81" s="4" t="s">
        <v>59</v>
      </c>
    </row>
    <row r="82" spans="1:39" ht="256.5">
      <c r="A82" s="4" t="s">
        <v>751</v>
      </c>
      <c r="B82" s="4" t="s">
        <v>752</v>
      </c>
      <c r="C82" s="4" t="s">
        <v>94</v>
      </c>
      <c r="D82" s="4" t="s">
        <v>753</v>
      </c>
      <c r="E82" s="4" t="s">
        <v>754</v>
      </c>
      <c r="F82" s="4" t="s">
        <v>65</v>
      </c>
      <c r="G82" s="4" t="s">
        <v>755</v>
      </c>
      <c r="H82" s="4" t="s">
        <v>756</v>
      </c>
      <c r="I82" s="4">
        <v>1650</v>
      </c>
      <c r="J82" s="4">
        <v>2200</v>
      </c>
      <c r="K82" s="4">
        <v>3850</v>
      </c>
      <c r="L82" s="4">
        <v>700</v>
      </c>
      <c r="M82" s="4" t="s">
        <v>40</v>
      </c>
      <c r="N82" s="4" t="s">
        <v>40</v>
      </c>
      <c r="O82" s="4" t="s">
        <v>50</v>
      </c>
      <c r="P82" s="4">
        <v>180</v>
      </c>
      <c r="Q82" s="4" t="s">
        <v>757</v>
      </c>
      <c r="R82" s="4" t="s">
        <v>758</v>
      </c>
      <c r="S82" s="4" t="s">
        <v>50</v>
      </c>
      <c r="T82" s="4" t="s">
        <v>50</v>
      </c>
      <c r="U82" s="4" t="s">
        <v>50</v>
      </c>
      <c r="V82" s="4" t="s">
        <v>759</v>
      </c>
      <c r="W82" s="4" t="s">
        <v>54</v>
      </c>
      <c r="X82" s="4" t="s">
        <v>55</v>
      </c>
      <c r="Y82" s="4" t="s">
        <v>81</v>
      </c>
      <c r="Z82" s="4" t="s">
        <v>70</v>
      </c>
      <c r="AA82" s="4">
        <v>12</v>
      </c>
      <c r="AB82" s="4">
        <f>ROUND(I82*(1-AA82/100),-1)</f>
        <v>1450</v>
      </c>
      <c r="AC82" s="4">
        <f t="shared" si="1"/>
        <v>1650</v>
      </c>
      <c r="AD82" s="4">
        <v>21</v>
      </c>
      <c r="AE82" s="4">
        <v>15</v>
      </c>
      <c r="AF82" s="4">
        <v>7</v>
      </c>
      <c r="AG82" s="4">
        <v>37</v>
      </c>
      <c r="AH82" s="4">
        <v>225</v>
      </c>
      <c r="AI82" s="4">
        <f>ROUND(300*I82*(1+AE82/100+AF82/100),0)</f>
        <v>603900</v>
      </c>
      <c r="AJ82" s="4">
        <v>4.3</v>
      </c>
      <c r="AK82" s="4">
        <v>195</v>
      </c>
      <c r="AL82" s="4" t="s">
        <v>58</v>
      </c>
      <c r="AM82" s="4" t="s">
        <v>59</v>
      </c>
    </row>
    <row r="83" spans="1:39" ht="256.5">
      <c r="A83" s="4" t="s">
        <v>760</v>
      </c>
      <c r="B83" s="4" t="s">
        <v>761</v>
      </c>
      <c r="C83" s="4" t="s">
        <v>72</v>
      </c>
      <c r="D83" s="4" t="s">
        <v>762</v>
      </c>
      <c r="E83" s="4" t="s">
        <v>763</v>
      </c>
      <c r="F83" s="4" t="s">
        <v>255</v>
      </c>
      <c r="G83" s="4" t="s">
        <v>764</v>
      </c>
      <c r="H83" s="4" t="s">
        <v>765</v>
      </c>
      <c r="I83" s="4">
        <v>2300</v>
      </c>
      <c r="J83" s="4">
        <v>3250</v>
      </c>
      <c r="K83" s="4">
        <v>4850</v>
      </c>
      <c r="L83" s="4">
        <v>750</v>
      </c>
      <c r="M83" s="4" t="s">
        <v>40</v>
      </c>
      <c r="N83" s="4" t="s">
        <v>40</v>
      </c>
      <c r="O83" s="4" t="s">
        <v>50</v>
      </c>
      <c r="P83" s="4">
        <v>150</v>
      </c>
      <c r="Q83" s="4" t="s">
        <v>766</v>
      </c>
      <c r="R83" s="4" t="s">
        <v>767</v>
      </c>
      <c r="S83" s="4" t="s">
        <v>50</v>
      </c>
      <c r="T83" s="4" t="s">
        <v>50</v>
      </c>
      <c r="U83" s="4" t="s">
        <v>50</v>
      </c>
      <c r="V83" s="4" t="s">
        <v>382</v>
      </c>
      <c r="W83" s="4" t="s">
        <v>54</v>
      </c>
      <c r="X83" s="4" t="s">
        <v>55</v>
      </c>
      <c r="Y83" s="4" t="s">
        <v>81</v>
      </c>
      <c r="Z83" s="4" t="s">
        <v>57</v>
      </c>
      <c r="AA83" s="4">
        <v>8</v>
      </c>
      <c r="AB83" s="4">
        <f>ROUND(I83*(1-AA83/100),-1)</f>
        <v>2120</v>
      </c>
      <c r="AC83" s="4">
        <f t="shared" si="1"/>
        <v>2300</v>
      </c>
      <c r="AD83" s="4">
        <v>11</v>
      </c>
      <c r="AE83" s="4">
        <v>15</v>
      </c>
      <c r="AF83" s="4">
        <v>5</v>
      </c>
      <c r="AG83" s="4">
        <v>38</v>
      </c>
      <c r="AH83" s="4">
        <v>250</v>
      </c>
      <c r="AI83" s="4">
        <f>ROUND(300*I83*(1+AE83/100+AF83/100),0)</f>
        <v>828000</v>
      </c>
      <c r="AJ83" s="4">
        <v>4</v>
      </c>
      <c r="AK83" s="4">
        <v>67</v>
      </c>
      <c r="AL83" s="4" t="s">
        <v>58</v>
      </c>
      <c r="AM83" s="4" t="s">
        <v>59</v>
      </c>
    </row>
    <row r="84" spans="1:39" ht="228">
      <c r="A84" s="4" t="s">
        <v>768</v>
      </c>
      <c r="B84" s="4" t="s">
        <v>769</v>
      </c>
      <c r="C84" s="4" t="s">
        <v>94</v>
      </c>
      <c r="D84" s="4" t="s">
        <v>770</v>
      </c>
      <c r="E84" s="4" t="s">
        <v>771</v>
      </c>
      <c r="F84" s="4" t="s">
        <v>65</v>
      </c>
      <c r="G84" s="4" t="s">
        <v>772</v>
      </c>
      <c r="H84" s="4" t="s">
        <v>773</v>
      </c>
      <c r="I84" s="4">
        <v>1650</v>
      </c>
      <c r="J84" s="4">
        <v>2400</v>
      </c>
      <c r="K84" s="4">
        <v>4250</v>
      </c>
      <c r="L84" s="4">
        <v>675</v>
      </c>
      <c r="M84" s="4" t="s">
        <v>48</v>
      </c>
      <c r="N84" s="4" t="s">
        <v>40</v>
      </c>
      <c r="O84" s="4" t="s">
        <v>50</v>
      </c>
      <c r="P84" s="4">
        <v>145</v>
      </c>
      <c r="Q84" s="4" t="s">
        <v>774</v>
      </c>
      <c r="R84" s="4" t="s">
        <v>775</v>
      </c>
      <c r="S84" s="4" t="s">
        <v>50</v>
      </c>
      <c r="T84" s="4" t="s">
        <v>50</v>
      </c>
      <c r="U84" s="4" t="s">
        <v>50</v>
      </c>
      <c r="V84" s="4" t="s">
        <v>608</v>
      </c>
      <c r="W84" s="4" t="s">
        <v>54</v>
      </c>
      <c r="X84" s="4" t="s">
        <v>55</v>
      </c>
      <c r="Y84" s="4" t="s">
        <v>69</v>
      </c>
      <c r="Z84" s="4" t="s">
        <v>70</v>
      </c>
      <c r="AA84" s="4">
        <v>12</v>
      </c>
      <c r="AB84" s="4">
        <f>ROUND(I84*(1-AA84/100),-1)</f>
        <v>1450</v>
      </c>
      <c r="AC84" s="4">
        <f t="shared" si="1"/>
        <v>1650</v>
      </c>
      <c r="AD84" s="4">
        <v>15</v>
      </c>
      <c r="AE84" s="4">
        <v>15</v>
      </c>
      <c r="AF84" s="4">
        <v>6</v>
      </c>
      <c r="AG84" s="4">
        <v>35</v>
      </c>
      <c r="AH84" s="4">
        <v>250</v>
      </c>
      <c r="AI84" s="4">
        <f>ROUND(300*I84*(1+AE84/100+AF84/100),0)</f>
        <v>598950</v>
      </c>
      <c r="AJ84" s="4">
        <v>4.0999999999999996</v>
      </c>
      <c r="AK84" s="4">
        <v>69</v>
      </c>
      <c r="AL84" s="4" t="s">
        <v>58</v>
      </c>
      <c r="AM84" s="4" t="s">
        <v>59</v>
      </c>
    </row>
    <row r="85" spans="1:39" ht="213.75">
      <c r="A85" s="4" t="s">
        <v>776</v>
      </c>
      <c r="B85" s="4" t="s">
        <v>777</v>
      </c>
      <c r="C85" s="4" t="s">
        <v>72</v>
      </c>
      <c r="D85" s="4" t="s">
        <v>778</v>
      </c>
      <c r="E85" s="4" t="s">
        <v>779</v>
      </c>
      <c r="F85" s="4" t="s">
        <v>86</v>
      </c>
      <c r="G85" s="4" t="s">
        <v>780</v>
      </c>
      <c r="H85" s="4" t="s">
        <v>781</v>
      </c>
      <c r="I85" s="4">
        <v>2450</v>
      </c>
      <c r="J85" s="4">
        <v>3350</v>
      </c>
      <c r="K85" s="4">
        <v>5300</v>
      </c>
      <c r="L85" s="4">
        <v>500</v>
      </c>
      <c r="M85" s="4" t="s">
        <v>48</v>
      </c>
      <c r="N85" s="4" t="s">
        <v>40</v>
      </c>
      <c r="O85" s="4" t="s">
        <v>50</v>
      </c>
      <c r="P85" s="4">
        <v>95</v>
      </c>
      <c r="Q85" s="4" t="s">
        <v>782</v>
      </c>
      <c r="R85" s="4" t="s">
        <v>783</v>
      </c>
      <c r="S85" s="4" t="s">
        <v>50</v>
      </c>
      <c r="T85" s="4" t="s">
        <v>50</v>
      </c>
      <c r="U85" s="4" t="s">
        <v>50</v>
      </c>
      <c r="V85" s="4" t="s">
        <v>339</v>
      </c>
      <c r="W85" s="4" t="s">
        <v>54</v>
      </c>
      <c r="X85" s="4" t="s">
        <v>55</v>
      </c>
      <c r="Y85" s="4" t="s">
        <v>69</v>
      </c>
      <c r="Z85" s="4" t="s">
        <v>57</v>
      </c>
      <c r="AA85" s="4">
        <v>12</v>
      </c>
      <c r="AB85" s="4">
        <f>ROUND(I85*(1-AA85/100),-1)</f>
        <v>2160</v>
      </c>
      <c r="AC85" s="4">
        <f t="shared" si="1"/>
        <v>2450</v>
      </c>
      <c r="AD85" s="4">
        <v>19</v>
      </c>
      <c r="AE85" s="4">
        <v>15</v>
      </c>
      <c r="AF85" s="4">
        <v>10</v>
      </c>
      <c r="AG85" s="4">
        <v>34</v>
      </c>
      <c r="AH85" s="4">
        <v>175</v>
      </c>
      <c r="AI85" s="4">
        <f>ROUND(300*I85*(1+AE85/100+AF85/100),0)</f>
        <v>918750</v>
      </c>
      <c r="AJ85" s="4">
        <v>4.5999999999999996</v>
      </c>
      <c r="AK85" s="4">
        <v>598</v>
      </c>
      <c r="AL85" s="4" t="s">
        <v>58</v>
      </c>
      <c r="AM85" s="4" t="s">
        <v>59</v>
      </c>
    </row>
    <row r="86" spans="1:39" ht="228">
      <c r="A86" s="4" t="s">
        <v>784</v>
      </c>
      <c r="B86" s="4" t="s">
        <v>785</v>
      </c>
      <c r="C86" s="4" t="s">
        <v>72</v>
      </c>
      <c r="D86" s="4" t="s">
        <v>786</v>
      </c>
      <c r="E86" s="4" t="s">
        <v>787</v>
      </c>
      <c r="F86" s="4" t="s">
        <v>75</v>
      </c>
      <c r="G86" s="4" t="s">
        <v>788</v>
      </c>
      <c r="H86" s="4" t="s">
        <v>789</v>
      </c>
      <c r="I86" s="4">
        <v>2300</v>
      </c>
      <c r="J86" s="4">
        <v>2800</v>
      </c>
      <c r="K86" s="4">
        <v>4600</v>
      </c>
      <c r="L86" s="4">
        <v>675</v>
      </c>
      <c r="M86" s="4" t="s">
        <v>48</v>
      </c>
      <c r="N86" s="4" t="s">
        <v>40</v>
      </c>
      <c r="O86" s="4" t="s">
        <v>50</v>
      </c>
      <c r="P86" s="4">
        <v>155</v>
      </c>
      <c r="Q86" s="4" t="s">
        <v>790</v>
      </c>
      <c r="R86" s="4" t="s">
        <v>791</v>
      </c>
      <c r="S86" s="4" t="s">
        <v>50</v>
      </c>
      <c r="T86" s="4" t="s">
        <v>50</v>
      </c>
      <c r="U86" s="4" t="s">
        <v>50</v>
      </c>
      <c r="V86" s="4" t="s">
        <v>206</v>
      </c>
      <c r="W86" s="4" t="s">
        <v>54</v>
      </c>
      <c r="X86" s="4" t="s">
        <v>55</v>
      </c>
      <c r="Y86" s="4" t="s">
        <v>69</v>
      </c>
      <c r="Z86" s="4" t="s">
        <v>57</v>
      </c>
      <c r="AA86" s="4">
        <v>6</v>
      </c>
      <c r="AB86" s="4">
        <f>ROUND(I86*(1-AA86/100),-1)</f>
        <v>2160</v>
      </c>
      <c r="AC86" s="4">
        <f t="shared" si="1"/>
        <v>2300</v>
      </c>
      <c r="AD86" s="4">
        <v>20</v>
      </c>
      <c r="AE86" s="4">
        <v>15</v>
      </c>
      <c r="AF86" s="4">
        <v>8</v>
      </c>
      <c r="AG86" s="4">
        <v>30</v>
      </c>
      <c r="AH86" s="4">
        <v>250</v>
      </c>
      <c r="AI86" s="4">
        <f>ROUND(300*I86*(1+AE86/100+AF86/100),0)</f>
        <v>848700</v>
      </c>
      <c r="AJ86" s="4">
        <v>4.3</v>
      </c>
      <c r="AK86" s="4">
        <v>96</v>
      </c>
      <c r="AL86" s="4" t="s">
        <v>111</v>
      </c>
      <c r="AM86" s="4" t="s">
        <v>59</v>
      </c>
    </row>
    <row r="87" spans="1:39" ht="228">
      <c r="A87" s="4" t="s">
        <v>792</v>
      </c>
      <c r="B87" s="4" t="s">
        <v>793</v>
      </c>
      <c r="C87" s="4" t="s">
        <v>94</v>
      </c>
      <c r="D87" s="4" t="s">
        <v>794</v>
      </c>
      <c r="E87" s="4" t="s">
        <v>795</v>
      </c>
      <c r="F87" s="4" t="s">
        <v>445</v>
      </c>
      <c r="G87" s="4" t="s">
        <v>796</v>
      </c>
      <c r="H87" s="4" t="s">
        <v>797</v>
      </c>
      <c r="I87" s="4">
        <v>1950</v>
      </c>
      <c r="J87" s="4">
        <v>2550</v>
      </c>
      <c r="K87" s="4">
        <v>4200</v>
      </c>
      <c r="L87" s="4">
        <v>475</v>
      </c>
      <c r="M87" s="4" t="s">
        <v>48</v>
      </c>
      <c r="N87" s="4" t="s">
        <v>40</v>
      </c>
      <c r="O87" s="4" t="s">
        <v>50</v>
      </c>
      <c r="P87" s="4">
        <v>100</v>
      </c>
      <c r="Q87" s="4" t="s">
        <v>798</v>
      </c>
      <c r="R87" s="4" t="s">
        <v>799</v>
      </c>
      <c r="S87" s="4" t="s">
        <v>50</v>
      </c>
      <c r="T87" s="4" t="s">
        <v>50</v>
      </c>
      <c r="U87" s="4" t="s">
        <v>50</v>
      </c>
      <c r="V87" s="4" t="s">
        <v>800</v>
      </c>
      <c r="W87" s="4" t="s">
        <v>54</v>
      </c>
      <c r="X87" s="4" t="s">
        <v>55</v>
      </c>
      <c r="Y87" s="4" t="s">
        <v>69</v>
      </c>
      <c r="Z87" s="4" t="s">
        <v>70</v>
      </c>
      <c r="AA87" s="4">
        <v>10</v>
      </c>
      <c r="AB87" s="4">
        <f>ROUND(I87*(1-AA87/100),-1)</f>
        <v>1760</v>
      </c>
      <c r="AC87" s="4">
        <f t="shared" si="1"/>
        <v>1950</v>
      </c>
      <c r="AD87" s="4">
        <v>19</v>
      </c>
      <c r="AE87" s="4">
        <v>15</v>
      </c>
      <c r="AF87" s="4">
        <v>5</v>
      </c>
      <c r="AG87" s="4">
        <v>41</v>
      </c>
      <c r="AH87" s="4">
        <v>150</v>
      </c>
      <c r="AI87" s="4">
        <f>ROUND(300*I87*(1+AE87/100+AF87/100),0)</f>
        <v>702000</v>
      </c>
      <c r="AJ87" s="4">
        <v>4.2</v>
      </c>
      <c r="AK87" s="4">
        <v>516</v>
      </c>
      <c r="AL87" s="4" t="s">
        <v>58</v>
      </c>
      <c r="AM87" s="4" t="s">
        <v>59</v>
      </c>
    </row>
    <row r="88" spans="1:39" ht="228">
      <c r="A88" s="4" t="s">
        <v>801</v>
      </c>
      <c r="B88" s="4" t="s">
        <v>802</v>
      </c>
      <c r="C88" s="4" t="s">
        <v>94</v>
      </c>
      <c r="D88" s="4" t="s">
        <v>803</v>
      </c>
      <c r="E88" s="4" t="s">
        <v>804</v>
      </c>
      <c r="F88" s="4" t="s">
        <v>65</v>
      </c>
      <c r="G88" s="4" t="s">
        <v>805</v>
      </c>
      <c r="H88" s="4" t="s">
        <v>806</v>
      </c>
      <c r="I88" s="4">
        <v>1750</v>
      </c>
      <c r="J88" s="4">
        <v>2600</v>
      </c>
      <c r="K88" s="4">
        <v>3700</v>
      </c>
      <c r="L88" s="4">
        <v>850</v>
      </c>
      <c r="M88" s="4" t="s">
        <v>48</v>
      </c>
      <c r="N88" s="4" t="s">
        <v>60</v>
      </c>
      <c r="O88" s="4" t="s">
        <v>50</v>
      </c>
      <c r="P88" s="4">
        <v>160</v>
      </c>
      <c r="Q88" s="4" t="s">
        <v>807</v>
      </c>
      <c r="R88" s="4" t="s">
        <v>808</v>
      </c>
      <c r="S88" s="4" t="s">
        <v>50</v>
      </c>
      <c r="T88" s="4" t="s">
        <v>50</v>
      </c>
      <c r="U88" s="4" t="s">
        <v>50</v>
      </c>
      <c r="V88" s="4" t="s">
        <v>809</v>
      </c>
      <c r="W88" s="4" t="s">
        <v>54</v>
      </c>
      <c r="X88" s="4" t="s">
        <v>55</v>
      </c>
      <c r="Y88" s="4" t="s">
        <v>56</v>
      </c>
      <c r="Z88" s="4" t="s">
        <v>70</v>
      </c>
      <c r="AA88" s="4">
        <v>7</v>
      </c>
      <c r="AB88" s="4">
        <f>ROUND(I88*(1-AA88/100),-1)</f>
        <v>1630</v>
      </c>
      <c r="AC88" s="4">
        <f t="shared" si="1"/>
        <v>1750</v>
      </c>
      <c r="AD88" s="4">
        <v>13</v>
      </c>
      <c r="AE88" s="4">
        <v>15</v>
      </c>
      <c r="AF88" s="4">
        <v>9</v>
      </c>
      <c r="AG88" s="4">
        <v>42</v>
      </c>
      <c r="AH88" s="4">
        <v>325</v>
      </c>
      <c r="AI88" s="4">
        <f>ROUND(300*I88*(1+AE88/100+AF88/100),0)</f>
        <v>651000</v>
      </c>
      <c r="AJ88" s="4">
        <v>4</v>
      </c>
      <c r="AK88" s="4">
        <v>668</v>
      </c>
      <c r="AL88" s="4" t="s">
        <v>111</v>
      </c>
      <c r="AM88" s="4" t="s">
        <v>59</v>
      </c>
    </row>
    <row r="89" spans="1:39" ht="228">
      <c r="A89" s="4" t="s">
        <v>810</v>
      </c>
      <c r="B89" s="4" t="s">
        <v>811</v>
      </c>
      <c r="C89" s="4" t="s">
        <v>94</v>
      </c>
      <c r="D89" s="4" t="s">
        <v>812</v>
      </c>
      <c r="E89" s="4" t="s">
        <v>813</v>
      </c>
      <c r="F89" s="4" t="s">
        <v>192</v>
      </c>
      <c r="G89" s="4" t="s">
        <v>814</v>
      </c>
      <c r="H89" s="4" t="s">
        <v>815</v>
      </c>
      <c r="I89" s="4">
        <v>2000</v>
      </c>
      <c r="J89" s="4">
        <v>2800</v>
      </c>
      <c r="K89" s="4">
        <v>4350</v>
      </c>
      <c r="L89" s="4">
        <v>475</v>
      </c>
      <c r="M89" s="4" t="s">
        <v>48</v>
      </c>
      <c r="N89" s="4" t="s">
        <v>40</v>
      </c>
      <c r="O89" s="4" t="s">
        <v>50</v>
      </c>
      <c r="P89" s="4">
        <v>110</v>
      </c>
      <c r="Q89" s="4" t="s">
        <v>816</v>
      </c>
      <c r="R89" s="4" t="s">
        <v>817</v>
      </c>
      <c r="S89" s="4" t="s">
        <v>50</v>
      </c>
      <c r="T89" s="4" t="s">
        <v>50</v>
      </c>
      <c r="U89" s="4" t="s">
        <v>50</v>
      </c>
      <c r="V89" s="4" t="s">
        <v>197</v>
      </c>
      <c r="W89" s="4" t="s">
        <v>54</v>
      </c>
      <c r="X89" s="4" t="s">
        <v>55</v>
      </c>
      <c r="Y89" s="4" t="s">
        <v>69</v>
      </c>
      <c r="Z89" s="4" t="s">
        <v>70</v>
      </c>
      <c r="AA89" s="4">
        <v>6</v>
      </c>
      <c r="AB89" s="4">
        <f>ROUND(I89*(1-AA89/100),-1)</f>
        <v>1880</v>
      </c>
      <c r="AC89" s="4">
        <f t="shared" si="1"/>
        <v>2000</v>
      </c>
      <c r="AD89" s="4">
        <v>21</v>
      </c>
      <c r="AE89" s="4">
        <v>15</v>
      </c>
      <c r="AF89" s="4">
        <v>9</v>
      </c>
      <c r="AG89" s="4">
        <v>35</v>
      </c>
      <c r="AH89" s="4">
        <v>150</v>
      </c>
      <c r="AI89" s="4">
        <f>ROUND(300*I89*(1+AE89/100+AF89/100),0)</f>
        <v>744000</v>
      </c>
      <c r="AJ89" s="4">
        <v>4.4000000000000004</v>
      </c>
      <c r="AK89" s="4">
        <v>114</v>
      </c>
      <c r="AL89" s="4" t="s">
        <v>111</v>
      </c>
      <c r="AM89" s="4" t="s">
        <v>59</v>
      </c>
    </row>
    <row r="90" spans="1:39" ht="228">
      <c r="A90" s="4" t="s">
        <v>818</v>
      </c>
      <c r="B90" s="4" t="s">
        <v>819</v>
      </c>
      <c r="C90" s="4" t="s">
        <v>94</v>
      </c>
      <c r="D90" s="4" t="s">
        <v>820</v>
      </c>
      <c r="E90" s="4" t="s">
        <v>821</v>
      </c>
      <c r="F90" s="4" t="s">
        <v>75</v>
      </c>
      <c r="G90" s="4" t="s">
        <v>822</v>
      </c>
      <c r="H90" s="4" t="s">
        <v>823</v>
      </c>
      <c r="I90" s="4">
        <v>1800</v>
      </c>
      <c r="J90" s="4">
        <v>2550</v>
      </c>
      <c r="K90" s="4">
        <v>4350</v>
      </c>
      <c r="L90" s="4">
        <v>475</v>
      </c>
      <c r="M90" s="4" t="s">
        <v>48</v>
      </c>
      <c r="N90" s="4" t="s">
        <v>40</v>
      </c>
      <c r="O90" s="4" t="s">
        <v>50</v>
      </c>
      <c r="P90" s="4">
        <v>105</v>
      </c>
      <c r="Q90" s="4" t="s">
        <v>824</v>
      </c>
      <c r="R90" s="4" t="s">
        <v>825</v>
      </c>
      <c r="S90" s="4" t="s">
        <v>50</v>
      </c>
      <c r="T90" s="4" t="s">
        <v>50</v>
      </c>
      <c r="U90" s="4" t="s">
        <v>50</v>
      </c>
      <c r="V90" s="4" t="s">
        <v>187</v>
      </c>
      <c r="W90" s="4" t="s">
        <v>54</v>
      </c>
      <c r="X90" s="4" t="s">
        <v>55</v>
      </c>
      <c r="Y90" s="4" t="s">
        <v>69</v>
      </c>
      <c r="Z90" s="4" t="s">
        <v>70</v>
      </c>
      <c r="AA90" s="4">
        <v>8</v>
      </c>
      <c r="AB90" s="4">
        <f>ROUND(I90*(1-AA90/100),-1)</f>
        <v>1660</v>
      </c>
      <c r="AC90" s="4">
        <f t="shared" si="1"/>
        <v>1800</v>
      </c>
      <c r="AD90" s="4">
        <v>22</v>
      </c>
      <c r="AE90" s="4">
        <v>15</v>
      </c>
      <c r="AF90" s="4">
        <v>10</v>
      </c>
      <c r="AG90" s="4">
        <v>41</v>
      </c>
      <c r="AH90" s="4">
        <v>125</v>
      </c>
      <c r="AI90" s="4">
        <f>ROUND(300*I90*(1+AE90/100+AF90/100),0)</f>
        <v>675000</v>
      </c>
      <c r="AJ90" s="4">
        <v>4.7</v>
      </c>
      <c r="AK90" s="4">
        <v>179</v>
      </c>
      <c r="AL90" s="4" t="s">
        <v>111</v>
      </c>
      <c r="AM90" s="4" t="s">
        <v>59</v>
      </c>
    </row>
    <row r="91" spans="1:39" ht="213.75">
      <c r="A91" s="4" t="s">
        <v>826</v>
      </c>
      <c r="B91" s="4" t="s">
        <v>827</v>
      </c>
      <c r="C91" s="4" t="s">
        <v>94</v>
      </c>
      <c r="D91" s="4" t="s">
        <v>828</v>
      </c>
      <c r="E91" s="4" t="s">
        <v>829</v>
      </c>
      <c r="F91" s="4" t="s">
        <v>45</v>
      </c>
      <c r="G91" s="4" t="s">
        <v>830</v>
      </c>
      <c r="H91" s="4" t="s">
        <v>831</v>
      </c>
      <c r="I91" s="4">
        <v>1750</v>
      </c>
      <c r="J91" s="4">
        <v>2200</v>
      </c>
      <c r="K91" s="4">
        <v>3650</v>
      </c>
      <c r="L91" s="4">
        <v>350</v>
      </c>
      <c r="M91" s="4" t="s">
        <v>48</v>
      </c>
      <c r="N91" s="4" t="s">
        <v>40</v>
      </c>
      <c r="O91" s="4" t="s">
        <v>50</v>
      </c>
      <c r="P91" s="4">
        <v>70</v>
      </c>
      <c r="Q91" s="4" t="s">
        <v>832</v>
      </c>
      <c r="R91" s="4" t="s">
        <v>833</v>
      </c>
      <c r="S91" s="4" t="s">
        <v>50</v>
      </c>
      <c r="T91" s="4" t="s">
        <v>50</v>
      </c>
      <c r="U91" s="4" t="s">
        <v>50</v>
      </c>
      <c r="V91" s="4" t="s">
        <v>834</v>
      </c>
      <c r="W91" s="4" t="s">
        <v>54</v>
      </c>
      <c r="X91" s="4" t="s">
        <v>55</v>
      </c>
      <c r="Y91" s="4" t="s">
        <v>69</v>
      </c>
      <c r="Z91" s="4" t="s">
        <v>70</v>
      </c>
      <c r="AA91" s="4">
        <v>5</v>
      </c>
      <c r="AB91" s="4">
        <f>ROUND(I91*(1-AA91/100),-1)</f>
        <v>1660</v>
      </c>
      <c r="AC91" s="4">
        <f t="shared" si="1"/>
        <v>1750</v>
      </c>
      <c r="AD91" s="4">
        <v>10</v>
      </c>
      <c r="AE91" s="4">
        <v>15</v>
      </c>
      <c r="AF91" s="4">
        <v>6</v>
      </c>
      <c r="AG91" s="4">
        <v>40</v>
      </c>
      <c r="AH91" s="4">
        <v>125</v>
      </c>
      <c r="AI91" s="4">
        <f>ROUND(300*I91*(1+AE91/100+AF91/100),0)</f>
        <v>635250</v>
      </c>
      <c r="AJ91" s="4">
        <v>4.2</v>
      </c>
      <c r="AK91" s="4">
        <v>665</v>
      </c>
      <c r="AL91" s="4" t="s">
        <v>111</v>
      </c>
      <c r="AM91" s="4" t="s">
        <v>59</v>
      </c>
    </row>
    <row r="92" spans="1:39" ht="213.75">
      <c r="A92" s="4" t="s">
        <v>835</v>
      </c>
      <c r="B92" s="4" t="s">
        <v>836</v>
      </c>
      <c r="C92" s="4" t="s">
        <v>72</v>
      </c>
      <c r="D92" s="4" t="s">
        <v>837</v>
      </c>
      <c r="E92" s="4" t="s">
        <v>838</v>
      </c>
      <c r="F92" s="4" t="s">
        <v>153</v>
      </c>
      <c r="G92" s="4" t="s">
        <v>839</v>
      </c>
      <c r="H92" s="4" t="s">
        <v>840</v>
      </c>
      <c r="I92" s="4">
        <v>2450</v>
      </c>
      <c r="J92" s="4">
        <v>2900</v>
      </c>
      <c r="K92" s="4">
        <v>4000</v>
      </c>
      <c r="L92" s="4">
        <v>350</v>
      </c>
      <c r="M92" s="4" t="s">
        <v>48</v>
      </c>
      <c r="N92" s="4" t="s">
        <v>40</v>
      </c>
      <c r="O92" s="4" t="s">
        <v>50</v>
      </c>
      <c r="P92" s="4">
        <v>90</v>
      </c>
      <c r="Q92" s="4" t="s">
        <v>841</v>
      </c>
      <c r="R92" s="4" t="s">
        <v>842</v>
      </c>
      <c r="S92" s="4" t="s">
        <v>50</v>
      </c>
      <c r="T92" s="4" t="s">
        <v>50</v>
      </c>
      <c r="U92" s="4" t="s">
        <v>50</v>
      </c>
      <c r="V92" s="4" t="s">
        <v>215</v>
      </c>
      <c r="W92" s="4" t="s">
        <v>54</v>
      </c>
      <c r="X92" s="4" t="s">
        <v>55</v>
      </c>
      <c r="Y92" s="4" t="s">
        <v>69</v>
      </c>
      <c r="Z92" s="4" t="s">
        <v>57</v>
      </c>
      <c r="AA92" s="4">
        <v>10</v>
      </c>
      <c r="AB92" s="4">
        <f>ROUND(I92*(1-AA92/100),-1)</f>
        <v>2210</v>
      </c>
      <c r="AC92" s="4">
        <f t="shared" si="1"/>
        <v>2450</v>
      </c>
      <c r="AD92" s="4">
        <v>14</v>
      </c>
      <c r="AE92" s="4">
        <v>15</v>
      </c>
      <c r="AF92" s="4">
        <v>6</v>
      </c>
      <c r="AG92" s="4">
        <v>44</v>
      </c>
      <c r="AH92" s="4">
        <v>125</v>
      </c>
      <c r="AI92" s="4">
        <f>ROUND(300*I92*(1+AE92/100+AF92/100),0)</f>
        <v>889350</v>
      </c>
      <c r="AJ92" s="4">
        <v>4.3</v>
      </c>
      <c r="AK92" s="4">
        <v>522</v>
      </c>
      <c r="AL92" s="4" t="s">
        <v>111</v>
      </c>
      <c r="AM92" s="4" t="s">
        <v>59</v>
      </c>
    </row>
    <row r="93" spans="1:39" ht="256.5">
      <c r="A93" s="4" t="s">
        <v>843</v>
      </c>
      <c r="B93" s="4" t="s">
        <v>844</v>
      </c>
      <c r="C93" s="4" t="s">
        <v>94</v>
      </c>
      <c r="D93" s="4" t="s">
        <v>845</v>
      </c>
      <c r="E93" s="4" t="s">
        <v>846</v>
      </c>
      <c r="F93" s="4" t="s">
        <v>255</v>
      </c>
      <c r="G93" s="4" t="s">
        <v>847</v>
      </c>
      <c r="H93" s="4" t="s">
        <v>848</v>
      </c>
      <c r="I93" s="4">
        <v>1850</v>
      </c>
      <c r="J93" s="4">
        <v>2250</v>
      </c>
      <c r="K93" s="4">
        <v>3700</v>
      </c>
      <c r="L93" s="4">
        <v>600</v>
      </c>
      <c r="M93" s="4" t="s">
        <v>40</v>
      </c>
      <c r="N93" s="4" t="s">
        <v>40</v>
      </c>
      <c r="O93" s="4" t="s">
        <v>50</v>
      </c>
      <c r="P93" s="4">
        <v>150</v>
      </c>
      <c r="Q93" s="4" t="s">
        <v>849</v>
      </c>
      <c r="R93" s="4" t="s">
        <v>850</v>
      </c>
      <c r="S93" s="4" t="s">
        <v>50</v>
      </c>
      <c r="T93" s="4" t="s">
        <v>50</v>
      </c>
      <c r="U93" s="4" t="s">
        <v>50</v>
      </c>
      <c r="V93" s="4" t="s">
        <v>851</v>
      </c>
      <c r="W93" s="4" t="s">
        <v>54</v>
      </c>
      <c r="X93" s="4" t="s">
        <v>55</v>
      </c>
      <c r="Y93" s="4" t="s">
        <v>81</v>
      </c>
      <c r="Z93" s="4" t="s">
        <v>70</v>
      </c>
      <c r="AA93" s="4">
        <v>5</v>
      </c>
      <c r="AB93" s="4">
        <f>ROUND(I93*(1-AA93/100),-1)</f>
        <v>1760</v>
      </c>
      <c r="AC93" s="4">
        <f t="shared" si="1"/>
        <v>1850</v>
      </c>
      <c r="AD93" s="4">
        <v>12</v>
      </c>
      <c r="AE93" s="4">
        <v>15</v>
      </c>
      <c r="AF93" s="4">
        <v>5</v>
      </c>
      <c r="AG93" s="4">
        <v>41</v>
      </c>
      <c r="AH93" s="4">
        <v>250</v>
      </c>
      <c r="AI93" s="4">
        <f>ROUND(300*I93*(1+AE93/100+AF93/100),0)</f>
        <v>666000</v>
      </c>
      <c r="AJ93" s="4">
        <v>3.9</v>
      </c>
      <c r="AK93" s="4">
        <v>821</v>
      </c>
      <c r="AL93" s="4" t="s">
        <v>58</v>
      </c>
      <c r="AM93" s="4" t="s">
        <v>59</v>
      </c>
    </row>
    <row r="94" spans="1:39" ht="213.75">
      <c r="A94" s="4" t="s">
        <v>852</v>
      </c>
      <c r="B94" s="4" t="s">
        <v>853</v>
      </c>
      <c r="C94" s="4" t="s">
        <v>94</v>
      </c>
      <c r="D94" s="4" t="s">
        <v>854</v>
      </c>
      <c r="E94" s="4" t="s">
        <v>855</v>
      </c>
      <c r="F94" s="4" t="s">
        <v>65</v>
      </c>
      <c r="G94" s="4" t="s">
        <v>856</v>
      </c>
      <c r="H94" s="4" t="s">
        <v>857</v>
      </c>
      <c r="I94" s="4">
        <v>1950</v>
      </c>
      <c r="J94" s="4">
        <v>2400</v>
      </c>
      <c r="K94" s="4">
        <v>3600</v>
      </c>
      <c r="L94" s="4">
        <v>500</v>
      </c>
      <c r="M94" s="4" t="s">
        <v>48</v>
      </c>
      <c r="N94" s="4" t="s">
        <v>40</v>
      </c>
      <c r="O94" s="4" t="s">
        <v>50</v>
      </c>
      <c r="P94" s="4">
        <v>90</v>
      </c>
      <c r="Q94" s="4" t="s">
        <v>858</v>
      </c>
      <c r="R94" s="4" t="s">
        <v>859</v>
      </c>
      <c r="S94" s="4" t="s">
        <v>50</v>
      </c>
      <c r="T94" s="4" t="s">
        <v>50</v>
      </c>
      <c r="U94" s="4" t="s">
        <v>50</v>
      </c>
      <c r="V94" s="4" t="s">
        <v>608</v>
      </c>
      <c r="W94" s="4" t="s">
        <v>54</v>
      </c>
      <c r="X94" s="4" t="s">
        <v>55</v>
      </c>
      <c r="Y94" s="4" t="s">
        <v>69</v>
      </c>
      <c r="Z94" s="4" t="s">
        <v>70</v>
      </c>
      <c r="AA94" s="4">
        <v>11</v>
      </c>
      <c r="AB94" s="4">
        <f>ROUND(I94*(1-AA94/100),-1)</f>
        <v>1740</v>
      </c>
      <c r="AC94" s="4">
        <f t="shared" si="1"/>
        <v>1950</v>
      </c>
      <c r="AD94" s="4">
        <v>11</v>
      </c>
      <c r="AE94" s="4">
        <v>15</v>
      </c>
      <c r="AF94" s="4">
        <v>10</v>
      </c>
      <c r="AG94" s="4">
        <v>35</v>
      </c>
      <c r="AH94" s="4">
        <v>175</v>
      </c>
      <c r="AI94" s="4">
        <f>ROUND(300*I94*(1+AE94/100+AF94/100),0)</f>
        <v>731250</v>
      </c>
      <c r="AJ94" s="4">
        <v>4.3</v>
      </c>
      <c r="AK94" s="4">
        <v>744</v>
      </c>
      <c r="AL94" s="4" t="s">
        <v>111</v>
      </c>
      <c r="AM94" s="4" t="s">
        <v>59</v>
      </c>
    </row>
    <row r="95" spans="1:39" ht="228">
      <c r="A95" s="4" t="s">
        <v>860</v>
      </c>
      <c r="B95" s="4" t="s">
        <v>861</v>
      </c>
      <c r="C95" s="4" t="s">
        <v>94</v>
      </c>
      <c r="D95" s="4" t="s">
        <v>862</v>
      </c>
      <c r="E95" s="4" t="s">
        <v>863</v>
      </c>
      <c r="F95" s="4" t="s">
        <v>153</v>
      </c>
      <c r="G95" s="4" t="s">
        <v>864</v>
      </c>
      <c r="H95" s="4" t="s">
        <v>865</v>
      </c>
      <c r="I95" s="4">
        <v>2050</v>
      </c>
      <c r="J95" s="4">
        <v>2800</v>
      </c>
      <c r="K95" s="4">
        <v>4300</v>
      </c>
      <c r="L95" s="4">
        <v>525</v>
      </c>
      <c r="M95" s="4" t="s">
        <v>48</v>
      </c>
      <c r="N95" s="4" t="s">
        <v>40</v>
      </c>
      <c r="O95" s="4" t="s">
        <v>50</v>
      </c>
      <c r="P95" s="4">
        <v>160</v>
      </c>
      <c r="Q95" s="4" t="s">
        <v>639</v>
      </c>
      <c r="R95" s="4" t="s">
        <v>866</v>
      </c>
      <c r="S95" s="4" t="s">
        <v>50</v>
      </c>
      <c r="T95" s="4" t="s">
        <v>50</v>
      </c>
      <c r="U95" s="4" t="s">
        <v>50</v>
      </c>
      <c r="V95" s="4" t="s">
        <v>867</v>
      </c>
      <c r="W95" s="4" t="s">
        <v>54</v>
      </c>
      <c r="X95" s="4" t="s">
        <v>55</v>
      </c>
      <c r="Y95" s="4" t="s">
        <v>69</v>
      </c>
      <c r="Z95" s="4" t="s">
        <v>70</v>
      </c>
      <c r="AA95" s="4">
        <v>7</v>
      </c>
      <c r="AB95" s="4">
        <f>ROUND(I95*(1-AA95/100),-1)</f>
        <v>1910</v>
      </c>
      <c r="AC95" s="4">
        <f t="shared" si="1"/>
        <v>2050</v>
      </c>
      <c r="AD95" s="4">
        <v>10</v>
      </c>
      <c r="AE95" s="4">
        <v>15</v>
      </c>
      <c r="AF95" s="4">
        <v>9</v>
      </c>
      <c r="AG95" s="4">
        <v>37</v>
      </c>
      <c r="AH95" s="4">
        <v>175</v>
      </c>
      <c r="AI95" s="4">
        <f>ROUND(300*I95*(1+AE95/100+AF95/100),0)</f>
        <v>762600</v>
      </c>
      <c r="AJ95" s="4">
        <v>4.3</v>
      </c>
      <c r="AK95" s="4">
        <v>29</v>
      </c>
      <c r="AL95" s="4" t="s">
        <v>111</v>
      </c>
      <c r="AM95" s="4" t="s">
        <v>59</v>
      </c>
    </row>
    <row r="96" spans="1:39" ht="213.75">
      <c r="A96" s="4" t="s">
        <v>868</v>
      </c>
      <c r="B96" s="4" t="s">
        <v>869</v>
      </c>
      <c r="C96" s="4" t="s">
        <v>72</v>
      </c>
      <c r="D96" s="4" t="s">
        <v>870</v>
      </c>
      <c r="E96" s="4" t="s">
        <v>871</v>
      </c>
      <c r="F96" s="4" t="s">
        <v>163</v>
      </c>
      <c r="G96" s="4" t="s">
        <v>872</v>
      </c>
      <c r="H96" s="4" t="s">
        <v>873</v>
      </c>
      <c r="I96" s="4">
        <v>2400</v>
      </c>
      <c r="J96" s="4">
        <v>3250</v>
      </c>
      <c r="K96" s="4">
        <v>4400</v>
      </c>
      <c r="L96" s="4">
        <v>325</v>
      </c>
      <c r="M96" s="4" t="s">
        <v>48</v>
      </c>
      <c r="N96" s="4" t="s">
        <v>40</v>
      </c>
      <c r="O96" s="4" t="s">
        <v>50</v>
      </c>
      <c r="P96" s="4">
        <v>90</v>
      </c>
      <c r="Q96" s="4" t="s">
        <v>874</v>
      </c>
      <c r="R96" s="4" t="s">
        <v>875</v>
      </c>
      <c r="S96" s="4" t="s">
        <v>50</v>
      </c>
      <c r="T96" s="4" t="s">
        <v>50</v>
      </c>
      <c r="U96" s="4" t="s">
        <v>50</v>
      </c>
      <c r="V96" s="4" t="s">
        <v>296</v>
      </c>
      <c r="W96" s="4" t="s">
        <v>54</v>
      </c>
      <c r="X96" s="4" t="s">
        <v>55</v>
      </c>
      <c r="Y96" s="4" t="s">
        <v>169</v>
      </c>
      <c r="Z96" s="4" t="s">
        <v>57</v>
      </c>
      <c r="AA96" s="4">
        <v>10</v>
      </c>
      <c r="AB96" s="4">
        <f>ROUND(I96*(1-AA96/100),-1)</f>
        <v>2160</v>
      </c>
      <c r="AC96" s="4">
        <f t="shared" si="1"/>
        <v>2400</v>
      </c>
      <c r="AD96" s="4">
        <v>12</v>
      </c>
      <c r="AE96" s="4">
        <v>15</v>
      </c>
      <c r="AF96" s="4">
        <v>8</v>
      </c>
      <c r="AG96" s="4">
        <v>39</v>
      </c>
      <c r="AH96" s="4">
        <v>125</v>
      </c>
      <c r="AI96" s="4">
        <f>ROUND(300*I96*(1+AE96/100+AF96/100),0)</f>
        <v>885600</v>
      </c>
      <c r="AJ96" s="4">
        <v>4.4000000000000004</v>
      </c>
      <c r="AK96" s="4">
        <v>773</v>
      </c>
      <c r="AL96" s="4" t="s">
        <v>111</v>
      </c>
      <c r="AM96" s="4" t="s">
        <v>59</v>
      </c>
    </row>
    <row r="97" spans="1:39" ht="228">
      <c r="A97" s="4" t="s">
        <v>876</v>
      </c>
      <c r="B97" s="4" t="s">
        <v>877</v>
      </c>
      <c r="C97" s="4" t="s">
        <v>72</v>
      </c>
      <c r="D97" s="4" t="s">
        <v>878</v>
      </c>
      <c r="E97" s="4" t="s">
        <v>879</v>
      </c>
      <c r="F97" s="4" t="s">
        <v>445</v>
      </c>
      <c r="G97" s="4" t="s">
        <v>880</v>
      </c>
      <c r="H97" s="4" t="s">
        <v>881</v>
      </c>
      <c r="I97" s="4">
        <v>2250</v>
      </c>
      <c r="J97" s="4">
        <v>3100</v>
      </c>
      <c r="K97" s="4">
        <v>4600</v>
      </c>
      <c r="L97" s="4">
        <v>475</v>
      </c>
      <c r="M97" s="4" t="s">
        <v>48</v>
      </c>
      <c r="N97" s="4" t="s">
        <v>40</v>
      </c>
      <c r="O97" s="4" t="s">
        <v>50</v>
      </c>
      <c r="P97" s="4">
        <v>105</v>
      </c>
      <c r="Q97" s="4" t="s">
        <v>882</v>
      </c>
      <c r="R97" s="4" t="s">
        <v>883</v>
      </c>
      <c r="S97" s="4" t="s">
        <v>50</v>
      </c>
      <c r="T97" s="4" t="s">
        <v>50</v>
      </c>
      <c r="U97" s="4" t="s">
        <v>50</v>
      </c>
      <c r="V97" s="4" t="s">
        <v>450</v>
      </c>
      <c r="W97" s="4" t="s">
        <v>54</v>
      </c>
      <c r="X97" s="4" t="s">
        <v>55</v>
      </c>
      <c r="Y97" s="4" t="s">
        <v>69</v>
      </c>
      <c r="Z97" s="4" t="s">
        <v>57</v>
      </c>
      <c r="AA97" s="4">
        <v>12</v>
      </c>
      <c r="AB97" s="4">
        <f>ROUND(I97*(1-AA97/100),-1)</f>
        <v>1980</v>
      </c>
      <c r="AC97" s="4">
        <f t="shared" si="1"/>
        <v>2250</v>
      </c>
      <c r="AD97" s="4">
        <v>16</v>
      </c>
      <c r="AE97" s="4">
        <v>15</v>
      </c>
      <c r="AF97" s="4">
        <v>5</v>
      </c>
      <c r="AG97" s="4">
        <v>39</v>
      </c>
      <c r="AH97" s="4">
        <v>150</v>
      </c>
      <c r="AI97" s="4">
        <f>ROUND(300*I97*(1+AE97/100+AF97/100),0)</f>
        <v>810000</v>
      </c>
      <c r="AJ97" s="4">
        <v>4.3</v>
      </c>
      <c r="AK97" s="4">
        <v>482</v>
      </c>
      <c r="AL97" s="4" t="s">
        <v>58</v>
      </c>
      <c r="AM97" s="4" t="s">
        <v>59</v>
      </c>
    </row>
    <row r="98" spans="1:39" ht="228">
      <c r="A98" s="4" t="s">
        <v>884</v>
      </c>
      <c r="B98" s="4" t="s">
        <v>885</v>
      </c>
      <c r="C98" s="4" t="s">
        <v>72</v>
      </c>
      <c r="D98" s="4" t="s">
        <v>886</v>
      </c>
      <c r="E98" s="4" t="s">
        <v>887</v>
      </c>
      <c r="F98" s="4" t="s">
        <v>75</v>
      </c>
      <c r="G98" s="4" t="s">
        <v>888</v>
      </c>
      <c r="H98" s="4" t="s">
        <v>889</v>
      </c>
      <c r="I98" s="4">
        <v>2200</v>
      </c>
      <c r="J98" s="4">
        <v>2950</v>
      </c>
      <c r="K98" s="4">
        <v>4050</v>
      </c>
      <c r="L98" s="4">
        <v>600</v>
      </c>
      <c r="M98" s="4" t="s">
        <v>48</v>
      </c>
      <c r="N98" s="4" t="s">
        <v>40</v>
      </c>
      <c r="O98" s="4" t="s">
        <v>50</v>
      </c>
      <c r="P98" s="4">
        <v>155</v>
      </c>
      <c r="Q98" s="4" t="s">
        <v>890</v>
      </c>
      <c r="R98" s="4" t="s">
        <v>891</v>
      </c>
      <c r="S98" s="4" t="s">
        <v>50</v>
      </c>
      <c r="T98" s="4" t="s">
        <v>50</v>
      </c>
      <c r="U98" s="4" t="s">
        <v>50</v>
      </c>
      <c r="V98" s="4" t="s">
        <v>206</v>
      </c>
      <c r="W98" s="4" t="s">
        <v>54</v>
      </c>
      <c r="X98" s="4" t="s">
        <v>55</v>
      </c>
      <c r="Y98" s="4" t="s">
        <v>69</v>
      </c>
      <c r="Z98" s="4" t="s">
        <v>57</v>
      </c>
      <c r="AA98" s="4">
        <v>5</v>
      </c>
      <c r="AB98" s="4">
        <f>ROUND(I98*(1-AA98/100),-1)</f>
        <v>2090</v>
      </c>
      <c r="AC98" s="4">
        <f t="shared" si="1"/>
        <v>2200</v>
      </c>
      <c r="AD98" s="4">
        <v>18</v>
      </c>
      <c r="AE98" s="4">
        <v>15</v>
      </c>
      <c r="AF98" s="4">
        <v>10</v>
      </c>
      <c r="AG98" s="4">
        <v>40</v>
      </c>
      <c r="AH98" s="4">
        <v>225</v>
      </c>
      <c r="AI98" s="4">
        <f>ROUND(300*I98*(1+AE98/100+AF98/100),0)</f>
        <v>825000</v>
      </c>
      <c r="AJ98" s="4">
        <v>4.7</v>
      </c>
      <c r="AK98" s="4">
        <v>776</v>
      </c>
      <c r="AL98" s="4" t="s">
        <v>111</v>
      </c>
      <c r="AM98" s="4" t="s">
        <v>59</v>
      </c>
    </row>
    <row r="99" spans="1:39" ht="256.5">
      <c r="A99" s="4" t="s">
        <v>892</v>
      </c>
      <c r="B99" s="4" t="s">
        <v>893</v>
      </c>
      <c r="C99" s="4" t="s">
        <v>72</v>
      </c>
      <c r="D99" s="4" t="s">
        <v>894</v>
      </c>
      <c r="E99" s="4" t="s">
        <v>895</v>
      </c>
      <c r="F99" s="4" t="s">
        <v>75</v>
      </c>
      <c r="G99" s="4" t="s">
        <v>896</v>
      </c>
      <c r="H99" s="4" t="s">
        <v>897</v>
      </c>
      <c r="I99" s="4">
        <v>2350</v>
      </c>
      <c r="J99" s="4">
        <v>3100</v>
      </c>
      <c r="K99" s="4">
        <v>4950</v>
      </c>
      <c r="L99" s="4">
        <v>1025</v>
      </c>
      <c r="M99" s="4" t="s">
        <v>40</v>
      </c>
      <c r="N99" s="4" t="s">
        <v>49</v>
      </c>
      <c r="O99" s="4" t="s">
        <v>50</v>
      </c>
      <c r="P99" s="4">
        <v>210</v>
      </c>
      <c r="Q99" s="4" t="s">
        <v>898</v>
      </c>
      <c r="R99" s="4" t="s">
        <v>899</v>
      </c>
      <c r="S99" s="4" t="s">
        <v>50</v>
      </c>
      <c r="T99" s="4" t="s">
        <v>50</v>
      </c>
      <c r="U99" s="4" t="s">
        <v>50</v>
      </c>
      <c r="V99" s="4" t="s">
        <v>110</v>
      </c>
      <c r="W99" s="4" t="s">
        <v>54</v>
      </c>
      <c r="X99" s="4" t="s">
        <v>55</v>
      </c>
      <c r="Y99" s="4" t="s">
        <v>81</v>
      </c>
      <c r="Z99" s="4" t="s">
        <v>57</v>
      </c>
      <c r="AA99" s="4">
        <v>6</v>
      </c>
      <c r="AB99" s="4">
        <f>ROUND(I99*(1-AA99/100),-1)</f>
        <v>2210</v>
      </c>
      <c r="AC99" s="4">
        <f t="shared" si="1"/>
        <v>2350</v>
      </c>
      <c r="AD99" s="4">
        <v>17</v>
      </c>
      <c r="AE99" s="4">
        <v>15</v>
      </c>
      <c r="AF99" s="4">
        <v>10</v>
      </c>
      <c r="AG99" s="4">
        <v>42</v>
      </c>
      <c r="AH99" s="4">
        <v>400</v>
      </c>
      <c r="AI99" s="4">
        <f>ROUND(300*I99*(1+AE99/100+AF99/100),0)</f>
        <v>881250</v>
      </c>
      <c r="AJ99" s="4">
        <v>4.2</v>
      </c>
      <c r="AK99" s="4">
        <v>172</v>
      </c>
      <c r="AL99" s="4" t="s">
        <v>111</v>
      </c>
      <c r="AM99" s="4" t="s">
        <v>59</v>
      </c>
    </row>
    <row r="100" spans="1:39" ht="256.5">
      <c r="A100" s="4" t="s">
        <v>900</v>
      </c>
      <c r="B100" s="4" t="s">
        <v>901</v>
      </c>
      <c r="C100" s="4" t="s">
        <v>94</v>
      </c>
      <c r="D100" s="4" t="s">
        <v>902</v>
      </c>
      <c r="E100" s="4" t="s">
        <v>903</v>
      </c>
      <c r="F100" s="4" t="s">
        <v>75</v>
      </c>
      <c r="G100" s="4" t="s">
        <v>904</v>
      </c>
      <c r="H100" s="4" t="s">
        <v>905</v>
      </c>
      <c r="I100" s="4">
        <v>2150</v>
      </c>
      <c r="J100" s="4">
        <v>2650</v>
      </c>
      <c r="K100" s="4">
        <v>3800</v>
      </c>
      <c r="L100" s="4">
        <v>750</v>
      </c>
      <c r="M100" s="4" t="s">
        <v>40</v>
      </c>
      <c r="N100" s="4" t="s">
        <v>40</v>
      </c>
      <c r="O100" s="4" t="s">
        <v>50</v>
      </c>
      <c r="P100" s="4">
        <v>185</v>
      </c>
      <c r="Q100" s="4" t="s">
        <v>906</v>
      </c>
      <c r="R100" s="4" t="s">
        <v>907</v>
      </c>
      <c r="S100" s="4" t="s">
        <v>50</v>
      </c>
      <c r="T100" s="4" t="s">
        <v>50</v>
      </c>
      <c r="U100" s="4" t="s">
        <v>50</v>
      </c>
      <c r="V100" s="4" t="s">
        <v>908</v>
      </c>
      <c r="W100" s="4" t="s">
        <v>54</v>
      </c>
      <c r="X100" s="4" t="s">
        <v>55</v>
      </c>
      <c r="Y100" s="4" t="s">
        <v>81</v>
      </c>
      <c r="Z100" s="4" t="s">
        <v>70</v>
      </c>
      <c r="AA100" s="4">
        <v>12</v>
      </c>
      <c r="AB100" s="4">
        <f>ROUND(I100*(1-AA100/100),-1)</f>
        <v>1890</v>
      </c>
      <c r="AC100" s="4">
        <f t="shared" si="1"/>
        <v>2150</v>
      </c>
      <c r="AD100" s="4">
        <v>18</v>
      </c>
      <c r="AE100" s="4">
        <v>15</v>
      </c>
      <c r="AF100" s="4">
        <v>5</v>
      </c>
      <c r="AG100" s="4">
        <v>40</v>
      </c>
      <c r="AH100" s="4">
        <v>225</v>
      </c>
      <c r="AI100" s="4">
        <f>ROUND(300*I100*(1+AE100/100+AF100/100),0)</f>
        <v>774000</v>
      </c>
      <c r="AJ100" s="4">
        <v>4.2</v>
      </c>
      <c r="AK100" s="4">
        <v>346</v>
      </c>
      <c r="AL100" s="4" t="s">
        <v>111</v>
      </c>
      <c r="AM100" s="4" t="s">
        <v>59</v>
      </c>
    </row>
    <row r="101" spans="1:39" ht="228">
      <c r="A101" s="4" t="s">
        <v>909</v>
      </c>
      <c r="B101" s="4" t="s">
        <v>910</v>
      </c>
      <c r="C101" s="4" t="s">
        <v>72</v>
      </c>
      <c r="D101" s="4" t="s">
        <v>911</v>
      </c>
      <c r="E101" s="4" t="s">
        <v>912</v>
      </c>
      <c r="F101" s="4" t="s">
        <v>75</v>
      </c>
      <c r="G101" s="4" t="s">
        <v>913</v>
      </c>
      <c r="H101" s="4" t="s">
        <v>914</v>
      </c>
      <c r="I101" s="4">
        <v>2350</v>
      </c>
      <c r="J101" s="4">
        <v>3100</v>
      </c>
      <c r="K101" s="4">
        <v>4500</v>
      </c>
      <c r="L101" s="4">
        <v>475</v>
      </c>
      <c r="M101" s="4" t="s">
        <v>48</v>
      </c>
      <c r="N101" s="4" t="s">
        <v>40</v>
      </c>
      <c r="O101" s="4" t="s">
        <v>50</v>
      </c>
      <c r="P101" s="4">
        <v>130</v>
      </c>
      <c r="Q101" s="4" t="s">
        <v>489</v>
      </c>
      <c r="R101" s="4" t="s">
        <v>915</v>
      </c>
      <c r="S101" s="4" t="s">
        <v>50</v>
      </c>
      <c r="T101" s="4" t="s">
        <v>50</v>
      </c>
      <c r="U101" s="4" t="s">
        <v>50</v>
      </c>
      <c r="V101" s="4" t="s">
        <v>206</v>
      </c>
      <c r="W101" s="4" t="s">
        <v>54</v>
      </c>
      <c r="X101" s="4" t="s">
        <v>55</v>
      </c>
      <c r="Y101" s="4" t="s">
        <v>69</v>
      </c>
      <c r="Z101" s="4" t="s">
        <v>57</v>
      </c>
      <c r="AA101" s="4">
        <v>10</v>
      </c>
      <c r="AB101" s="4">
        <f>ROUND(I101*(1-AA101/100),-1)</f>
        <v>2120</v>
      </c>
      <c r="AC101" s="4">
        <f t="shared" si="1"/>
        <v>2350</v>
      </c>
      <c r="AD101" s="4">
        <v>12</v>
      </c>
      <c r="AE101" s="4">
        <v>15</v>
      </c>
      <c r="AF101" s="4">
        <v>7</v>
      </c>
      <c r="AG101" s="4">
        <v>45</v>
      </c>
      <c r="AH101" s="4">
        <v>175</v>
      </c>
      <c r="AI101" s="4">
        <f>ROUND(300*I101*(1+AE101/100+AF101/100),0)</f>
        <v>860100</v>
      </c>
      <c r="AJ101" s="4">
        <v>4.4000000000000004</v>
      </c>
      <c r="AK101" s="4">
        <v>830</v>
      </c>
      <c r="AL101" s="4" t="s">
        <v>111</v>
      </c>
      <c r="AM101" s="4" t="s">
        <v>59</v>
      </c>
    </row>
    <row r="102" spans="1:39" ht="213.75">
      <c r="A102" s="4" t="s">
        <v>916</v>
      </c>
      <c r="B102" s="4" t="s">
        <v>917</v>
      </c>
      <c r="C102" s="4" t="s">
        <v>94</v>
      </c>
      <c r="D102" s="4" t="s">
        <v>918</v>
      </c>
      <c r="E102" s="4" t="s">
        <v>919</v>
      </c>
      <c r="F102" s="4" t="s">
        <v>75</v>
      </c>
      <c r="G102" s="4" t="s">
        <v>920</v>
      </c>
      <c r="H102" s="4" t="s">
        <v>921</v>
      </c>
      <c r="I102" s="4">
        <v>2150</v>
      </c>
      <c r="J102" s="4">
        <v>3000</v>
      </c>
      <c r="K102" s="4">
        <v>4000</v>
      </c>
      <c r="L102" s="4">
        <v>350</v>
      </c>
      <c r="M102" s="4" t="s">
        <v>48</v>
      </c>
      <c r="N102" s="4" t="s">
        <v>40</v>
      </c>
      <c r="O102" s="4" t="s">
        <v>50</v>
      </c>
      <c r="P102" s="4">
        <v>65</v>
      </c>
      <c r="Q102" s="4" t="s">
        <v>922</v>
      </c>
      <c r="R102" s="4" t="s">
        <v>923</v>
      </c>
      <c r="S102" s="4" t="s">
        <v>50</v>
      </c>
      <c r="T102" s="4" t="s">
        <v>50</v>
      </c>
      <c r="U102" s="4" t="s">
        <v>50</v>
      </c>
      <c r="V102" s="4" t="s">
        <v>187</v>
      </c>
      <c r="W102" s="4" t="s">
        <v>54</v>
      </c>
      <c r="X102" s="4" t="s">
        <v>55</v>
      </c>
      <c r="Y102" s="4" t="s">
        <v>69</v>
      </c>
      <c r="Z102" s="4" t="s">
        <v>70</v>
      </c>
      <c r="AA102" s="4">
        <v>6</v>
      </c>
      <c r="AB102" s="4">
        <f>ROUND(I102*(1-AA102/100),-1)</f>
        <v>2020</v>
      </c>
      <c r="AC102" s="4">
        <f t="shared" si="1"/>
        <v>2150</v>
      </c>
      <c r="AD102" s="4">
        <v>22</v>
      </c>
      <c r="AE102" s="4">
        <v>15</v>
      </c>
      <c r="AF102" s="4">
        <v>8</v>
      </c>
      <c r="AG102" s="4">
        <v>35</v>
      </c>
      <c r="AH102" s="4">
        <v>100</v>
      </c>
      <c r="AI102" s="4">
        <f>ROUND(300*I102*(1+AE102/100+AF102/100),0)</f>
        <v>793350</v>
      </c>
      <c r="AJ102" s="4">
        <v>4.8</v>
      </c>
      <c r="AK102" s="4">
        <v>32</v>
      </c>
      <c r="AL102" s="4" t="s">
        <v>111</v>
      </c>
      <c r="AM102" s="4" t="s">
        <v>59</v>
      </c>
    </row>
    <row r="103" spans="1:39" ht="228">
      <c r="A103" s="4" t="s">
        <v>924</v>
      </c>
      <c r="B103" s="4" t="s">
        <v>925</v>
      </c>
      <c r="C103" s="4" t="s">
        <v>94</v>
      </c>
      <c r="D103" s="4" t="s">
        <v>926</v>
      </c>
      <c r="E103" s="4" t="s">
        <v>927</v>
      </c>
      <c r="F103" s="4" t="s">
        <v>45</v>
      </c>
      <c r="G103" s="4" t="s">
        <v>928</v>
      </c>
      <c r="H103" s="4" t="s">
        <v>929</v>
      </c>
      <c r="I103" s="4">
        <v>1800</v>
      </c>
      <c r="J103" s="4">
        <v>2250</v>
      </c>
      <c r="K103" s="4">
        <v>4100</v>
      </c>
      <c r="L103" s="4">
        <v>625</v>
      </c>
      <c r="M103" s="4" t="s">
        <v>48</v>
      </c>
      <c r="N103" s="4" t="s">
        <v>40</v>
      </c>
      <c r="O103" s="4" t="s">
        <v>50</v>
      </c>
      <c r="P103" s="4">
        <v>105</v>
      </c>
      <c r="Q103" s="4" t="s">
        <v>930</v>
      </c>
      <c r="R103" s="4" t="s">
        <v>931</v>
      </c>
      <c r="S103" s="4" t="s">
        <v>50</v>
      </c>
      <c r="T103" s="4" t="s">
        <v>50</v>
      </c>
      <c r="U103" s="4" t="s">
        <v>50</v>
      </c>
      <c r="V103" s="4" t="s">
        <v>834</v>
      </c>
      <c r="W103" s="4" t="s">
        <v>54</v>
      </c>
      <c r="X103" s="4" t="s">
        <v>55</v>
      </c>
      <c r="Y103" s="4" t="s">
        <v>69</v>
      </c>
      <c r="Z103" s="4" t="s">
        <v>70</v>
      </c>
      <c r="AA103" s="4">
        <v>6</v>
      </c>
      <c r="AB103" s="4">
        <f>ROUND(I103*(1-AA103/100),-1)</f>
        <v>1690</v>
      </c>
      <c r="AC103" s="4">
        <f t="shared" si="1"/>
        <v>1800</v>
      </c>
      <c r="AD103" s="4">
        <v>21</v>
      </c>
      <c r="AE103" s="4">
        <v>15</v>
      </c>
      <c r="AF103" s="4">
        <v>7</v>
      </c>
      <c r="AG103" s="4">
        <v>33</v>
      </c>
      <c r="AH103" s="4">
        <v>200</v>
      </c>
      <c r="AI103" s="4">
        <f>ROUND(300*I103*(1+AE103/100+AF103/100),0)</f>
        <v>658800</v>
      </c>
      <c r="AJ103" s="4">
        <v>4</v>
      </c>
      <c r="AK103" s="4">
        <v>607</v>
      </c>
      <c r="AL103" s="4" t="s">
        <v>111</v>
      </c>
      <c r="AM103" s="4" t="s">
        <v>59</v>
      </c>
    </row>
    <row r="104" spans="1:39" ht="213.75">
      <c r="A104" s="4" t="s">
        <v>932</v>
      </c>
      <c r="B104" s="4" t="s">
        <v>933</v>
      </c>
      <c r="C104" s="4" t="s">
        <v>94</v>
      </c>
      <c r="D104" s="4" t="s">
        <v>934</v>
      </c>
      <c r="E104" s="4" t="s">
        <v>935</v>
      </c>
      <c r="F104" s="4" t="s">
        <v>75</v>
      </c>
      <c r="G104" s="4" t="s">
        <v>936</v>
      </c>
      <c r="H104" s="4" t="s">
        <v>937</v>
      </c>
      <c r="I104" s="4">
        <v>1750</v>
      </c>
      <c r="J104" s="4">
        <v>2500</v>
      </c>
      <c r="K104" s="4">
        <v>4500</v>
      </c>
      <c r="L104" s="4">
        <v>450</v>
      </c>
      <c r="M104" s="4" t="s">
        <v>48</v>
      </c>
      <c r="N104" s="4" t="s">
        <v>40</v>
      </c>
      <c r="O104" s="4" t="s">
        <v>50</v>
      </c>
      <c r="P104" s="4">
        <v>90</v>
      </c>
      <c r="Q104" s="4" t="s">
        <v>938</v>
      </c>
      <c r="R104" s="4" t="s">
        <v>939</v>
      </c>
      <c r="S104" s="4" t="s">
        <v>50</v>
      </c>
      <c r="T104" s="4" t="s">
        <v>50</v>
      </c>
      <c r="U104" s="4" t="s">
        <v>50</v>
      </c>
      <c r="V104" s="4" t="s">
        <v>187</v>
      </c>
      <c r="W104" s="4" t="s">
        <v>54</v>
      </c>
      <c r="X104" s="4" t="s">
        <v>55</v>
      </c>
      <c r="Y104" s="4" t="s">
        <v>69</v>
      </c>
      <c r="Z104" s="4" t="s">
        <v>70</v>
      </c>
      <c r="AA104" s="4">
        <v>11</v>
      </c>
      <c r="AB104" s="4">
        <f>ROUND(I104*(1-AA104/100),-1)</f>
        <v>1560</v>
      </c>
      <c r="AC104" s="4">
        <f t="shared" si="1"/>
        <v>1750</v>
      </c>
      <c r="AD104" s="4">
        <v>14</v>
      </c>
      <c r="AE104" s="4">
        <v>15</v>
      </c>
      <c r="AF104" s="4">
        <v>7</v>
      </c>
      <c r="AG104" s="4">
        <v>37</v>
      </c>
      <c r="AH104" s="4">
        <v>150</v>
      </c>
      <c r="AI104" s="4">
        <f>ROUND(300*I104*(1+AE104/100+AF104/100),0)</f>
        <v>640500</v>
      </c>
      <c r="AJ104" s="4">
        <v>3.9</v>
      </c>
      <c r="AK104" s="4">
        <v>685</v>
      </c>
      <c r="AL104" s="4" t="s">
        <v>111</v>
      </c>
      <c r="AM104" s="4" t="s">
        <v>59</v>
      </c>
    </row>
    <row r="105" spans="1:39" ht="228">
      <c r="A105" s="4" t="s">
        <v>940</v>
      </c>
      <c r="B105" s="4" t="s">
        <v>941</v>
      </c>
      <c r="C105" s="4" t="s">
        <v>72</v>
      </c>
      <c r="D105" s="4" t="s">
        <v>942</v>
      </c>
      <c r="E105" s="4" t="s">
        <v>943</v>
      </c>
      <c r="F105" s="4" t="s">
        <v>163</v>
      </c>
      <c r="G105" s="4" t="s">
        <v>944</v>
      </c>
      <c r="H105" s="4" t="s">
        <v>945</v>
      </c>
      <c r="I105" s="4">
        <v>2400</v>
      </c>
      <c r="J105" s="4">
        <v>3350</v>
      </c>
      <c r="K105" s="4">
        <v>4750</v>
      </c>
      <c r="L105" s="4">
        <v>550</v>
      </c>
      <c r="M105" s="4" t="s">
        <v>48</v>
      </c>
      <c r="N105" s="4" t="s">
        <v>40</v>
      </c>
      <c r="O105" s="4" t="s">
        <v>50</v>
      </c>
      <c r="P105" s="4">
        <v>135</v>
      </c>
      <c r="Q105" s="4" t="s">
        <v>946</v>
      </c>
      <c r="R105" s="4" t="s">
        <v>947</v>
      </c>
      <c r="S105" s="4" t="s">
        <v>50</v>
      </c>
      <c r="T105" s="4" t="s">
        <v>50</v>
      </c>
      <c r="U105" s="4" t="s">
        <v>50</v>
      </c>
      <c r="V105" s="4" t="s">
        <v>296</v>
      </c>
      <c r="W105" s="4" t="s">
        <v>54</v>
      </c>
      <c r="X105" s="4" t="s">
        <v>55</v>
      </c>
      <c r="Y105" s="4" t="s">
        <v>169</v>
      </c>
      <c r="Z105" s="4" t="s">
        <v>57</v>
      </c>
      <c r="AA105" s="4">
        <v>9</v>
      </c>
      <c r="AB105" s="4">
        <f>ROUND(I105*(1-AA105/100),-1)</f>
        <v>2180</v>
      </c>
      <c r="AC105" s="4">
        <f t="shared" si="1"/>
        <v>2400</v>
      </c>
      <c r="AD105" s="4">
        <v>18</v>
      </c>
      <c r="AE105" s="4">
        <v>15</v>
      </c>
      <c r="AF105" s="4">
        <v>10</v>
      </c>
      <c r="AG105" s="4">
        <v>39</v>
      </c>
      <c r="AH105" s="4">
        <v>200</v>
      </c>
      <c r="AI105" s="4">
        <f>ROUND(300*I105*(1+AE105/100+AF105/100),0)</f>
        <v>900000</v>
      </c>
      <c r="AJ105" s="4">
        <v>4.0999999999999996</v>
      </c>
      <c r="AK105" s="4">
        <v>36</v>
      </c>
      <c r="AL105" s="4" t="s">
        <v>111</v>
      </c>
      <c r="AM105" s="4" t="s">
        <v>59</v>
      </c>
    </row>
    <row r="106" spans="1:39" ht="213.75">
      <c r="A106" s="4" t="s">
        <v>948</v>
      </c>
      <c r="B106" s="4" t="s">
        <v>949</v>
      </c>
      <c r="C106" s="4" t="s">
        <v>700</v>
      </c>
      <c r="D106" s="4" t="s">
        <v>950</v>
      </c>
      <c r="E106" s="4" t="s">
        <v>829</v>
      </c>
      <c r="F106" s="4" t="s">
        <v>45</v>
      </c>
      <c r="G106" s="4" t="s">
        <v>951</v>
      </c>
      <c r="H106" s="4" t="s">
        <v>952</v>
      </c>
      <c r="I106" s="4">
        <v>1400</v>
      </c>
      <c r="J106" s="4">
        <v>1900</v>
      </c>
      <c r="K106" s="4">
        <v>3400</v>
      </c>
      <c r="L106" s="4">
        <v>350</v>
      </c>
      <c r="M106" s="4" t="s">
        <v>48</v>
      </c>
      <c r="N106" s="4" t="s">
        <v>40</v>
      </c>
      <c r="O106" s="4" t="s">
        <v>50</v>
      </c>
      <c r="P106" s="4">
        <v>80</v>
      </c>
      <c r="Q106" s="4" t="s">
        <v>953</v>
      </c>
      <c r="R106" s="4" t="s">
        <v>954</v>
      </c>
      <c r="S106" s="4" t="s">
        <v>50</v>
      </c>
      <c r="T106" s="4" t="s">
        <v>50</v>
      </c>
      <c r="U106" s="4" t="s">
        <v>50</v>
      </c>
      <c r="V106" s="4" t="s">
        <v>955</v>
      </c>
      <c r="W106" s="4" t="s">
        <v>54</v>
      </c>
      <c r="X106" s="4" t="s">
        <v>55</v>
      </c>
      <c r="Y106" s="4" t="s">
        <v>69</v>
      </c>
      <c r="Z106" s="4" t="s">
        <v>706</v>
      </c>
      <c r="AA106" s="4">
        <v>10</v>
      </c>
      <c r="AB106" s="4">
        <f>ROUND(I106*(1-AA106/100),-1)</f>
        <v>1260</v>
      </c>
      <c r="AC106" s="4">
        <f t="shared" si="1"/>
        <v>1400</v>
      </c>
      <c r="AD106" s="4">
        <v>21</v>
      </c>
      <c r="AE106" s="4">
        <v>15</v>
      </c>
      <c r="AF106" s="4">
        <v>6</v>
      </c>
      <c r="AG106" s="4">
        <v>28</v>
      </c>
      <c r="AH106" s="4">
        <v>125</v>
      </c>
      <c r="AI106" s="4">
        <f>ROUND(300*I106*(1+AE106/100+AF106/100),0)</f>
        <v>508200</v>
      </c>
      <c r="AJ106" s="4">
        <v>4.5999999999999996</v>
      </c>
      <c r="AK106" s="4">
        <v>130</v>
      </c>
      <c r="AL106" s="4" t="s">
        <v>111</v>
      </c>
      <c r="AM106" s="4" t="s">
        <v>59</v>
      </c>
    </row>
    <row r="107" spans="1:39" ht="213.75">
      <c r="A107" s="4" t="s">
        <v>956</v>
      </c>
      <c r="B107" s="4" t="s">
        <v>957</v>
      </c>
      <c r="C107" s="4" t="s">
        <v>72</v>
      </c>
      <c r="D107" s="4" t="s">
        <v>958</v>
      </c>
      <c r="E107" s="4" t="s">
        <v>959</v>
      </c>
      <c r="F107" s="4" t="s">
        <v>86</v>
      </c>
      <c r="G107" s="4" t="s">
        <v>960</v>
      </c>
      <c r="H107" s="4" t="s">
        <v>961</v>
      </c>
      <c r="I107" s="4">
        <v>2450</v>
      </c>
      <c r="J107" s="4">
        <v>2950</v>
      </c>
      <c r="K107" s="4">
        <v>4300</v>
      </c>
      <c r="L107" s="4">
        <v>475</v>
      </c>
      <c r="M107" s="4" t="s">
        <v>48</v>
      </c>
      <c r="N107" s="4" t="s">
        <v>40</v>
      </c>
      <c r="O107" s="4" t="s">
        <v>50</v>
      </c>
      <c r="P107" s="4">
        <v>95</v>
      </c>
      <c r="Q107" s="4" t="s">
        <v>962</v>
      </c>
      <c r="R107" s="4" t="s">
        <v>963</v>
      </c>
      <c r="S107" s="4" t="s">
        <v>50</v>
      </c>
      <c r="T107" s="4" t="s">
        <v>50</v>
      </c>
      <c r="U107" s="4" t="s">
        <v>50</v>
      </c>
      <c r="V107" s="4" t="s">
        <v>339</v>
      </c>
      <c r="W107" s="4" t="s">
        <v>54</v>
      </c>
      <c r="X107" s="4" t="s">
        <v>55</v>
      </c>
      <c r="Y107" s="4" t="s">
        <v>69</v>
      </c>
      <c r="Z107" s="4" t="s">
        <v>57</v>
      </c>
      <c r="AA107" s="4">
        <v>7</v>
      </c>
      <c r="AB107" s="4">
        <f>ROUND(I107*(1-AA107/100),-1)</f>
        <v>2280</v>
      </c>
      <c r="AC107" s="4">
        <f t="shared" si="1"/>
        <v>2450</v>
      </c>
      <c r="AD107" s="4">
        <v>10</v>
      </c>
      <c r="AE107" s="4">
        <v>15</v>
      </c>
      <c r="AF107" s="4">
        <v>9</v>
      </c>
      <c r="AG107" s="4">
        <v>45</v>
      </c>
      <c r="AH107" s="4">
        <v>150</v>
      </c>
      <c r="AI107" s="4">
        <f>ROUND(300*I107*(1+AE107/100+AF107/100),0)</f>
        <v>911400</v>
      </c>
      <c r="AJ107" s="4">
        <v>4.5999999999999996</v>
      </c>
      <c r="AK107" s="4">
        <v>440</v>
      </c>
      <c r="AL107" s="4" t="s">
        <v>111</v>
      </c>
      <c r="AM107" s="4" t="s">
        <v>59</v>
      </c>
    </row>
    <row r="108" spans="1:39" ht="256.5">
      <c r="A108" s="4" t="s">
        <v>964</v>
      </c>
      <c r="B108" s="4" t="s">
        <v>965</v>
      </c>
      <c r="C108" s="4" t="s">
        <v>94</v>
      </c>
      <c r="D108" s="4" t="s">
        <v>966</v>
      </c>
      <c r="E108" s="4" t="s">
        <v>804</v>
      </c>
      <c r="F108" s="4" t="s">
        <v>65</v>
      </c>
      <c r="G108" s="4" t="s">
        <v>967</v>
      </c>
      <c r="H108" s="4" t="s">
        <v>968</v>
      </c>
      <c r="I108" s="4">
        <v>1800</v>
      </c>
      <c r="J108" s="4">
        <v>2350</v>
      </c>
      <c r="K108" s="4">
        <v>3850</v>
      </c>
      <c r="L108" s="4">
        <v>925</v>
      </c>
      <c r="M108" s="4" t="s">
        <v>40</v>
      </c>
      <c r="N108" s="4" t="s">
        <v>60</v>
      </c>
      <c r="O108" s="4" t="s">
        <v>50</v>
      </c>
      <c r="P108" s="4">
        <v>195</v>
      </c>
      <c r="Q108" s="4" t="s">
        <v>969</v>
      </c>
      <c r="R108" s="4" t="s">
        <v>970</v>
      </c>
      <c r="S108" s="4" t="s">
        <v>50</v>
      </c>
      <c r="T108" s="4" t="s">
        <v>50</v>
      </c>
      <c r="U108" s="4" t="s">
        <v>50</v>
      </c>
      <c r="V108" s="4" t="s">
        <v>971</v>
      </c>
      <c r="W108" s="4" t="s">
        <v>54</v>
      </c>
      <c r="X108" s="4" t="s">
        <v>55</v>
      </c>
      <c r="Y108" s="4" t="s">
        <v>81</v>
      </c>
      <c r="Z108" s="4" t="s">
        <v>70</v>
      </c>
      <c r="AA108" s="4">
        <v>9</v>
      </c>
      <c r="AB108" s="4">
        <f>ROUND(I108*(1-AA108/100),-1)</f>
        <v>1640</v>
      </c>
      <c r="AC108" s="4">
        <f t="shared" si="1"/>
        <v>1800</v>
      </c>
      <c r="AD108" s="4">
        <v>16</v>
      </c>
      <c r="AE108" s="4">
        <v>15</v>
      </c>
      <c r="AF108" s="4">
        <v>8</v>
      </c>
      <c r="AG108" s="4">
        <v>49</v>
      </c>
      <c r="AH108" s="4">
        <v>325</v>
      </c>
      <c r="AI108" s="4">
        <f>ROUND(300*I108*(1+AE108/100+AF108/100),0)</f>
        <v>664200</v>
      </c>
      <c r="AJ108" s="4">
        <v>4.5</v>
      </c>
      <c r="AK108" s="4">
        <v>354</v>
      </c>
      <c r="AL108" s="4" t="s">
        <v>111</v>
      </c>
      <c r="AM108" s="4" t="s">
        <v>59</v>
      </c>
    </row>
    <row r="109" spans="1:39" ht="256.5">
      <c r="A109" s="4" t="s">
        <v>972</v>
      </c>
      <c r="B109" s="4" t="s">
        <v>973</v>
      </c>
      <c r="C109" s="4" t="s">
        <v>72</v>
      </c>
      <c r="D109" s="4" t="s">
        <v>974</v>
      </c>
      <c r="E109" s="4" t="s">
        <v>975</v>
      </c>
      <c r="F109" s="4" t="s">
        <v>163</v>
      </c>
      <c r="G109" s="4" t="s">
        <v>976</v>
      </c>
      <c r="H109" s="4" t="s">
        <v>977</v>
      </c>
      <c r="I109" s="4">
        <v>2600</v>
      </c>
      <c r="J109" s="4">
        <v>3100</v>
      </c>
      <c r="K109" s="4">
        <v>4750</v>
      </c>
      <c r="L109" s="4">
        <v>675</v>
      </c>
      <c r="M109" s="4" t="s">
        <v>40</v>
      </c>
      <c r="N109" s="4" t="s">
        <v>40</v>
      </c>
      <c r="O109" s="4" t="s">
        <v>50</v>
      </c>
      <c r="P109" s="4">
        <v>175</v>
      </c>
      <c r="Q109" s="4" t="s">
        <v>978</v>
      </c>
      <c r="R109" s="4" t="s">
        <v>979</v>
      </c>
      <c r="S109" s="4" t="s">
        <v>50</v>
      </c>
      <c r="T109" s="4" t="s">
        <v>50</v>
      </c>
      <c r="U109" s="4" t="s">
        <v>50</v>
      </c>
      <c r="V109" s="4" t="s">
        <v>980</v>
      </c>
      <c r="W109" s="4" t="s">
        <v>54</v>
      </c>
      <c r="X109" s="4" t="s">
        <v>55</v>
      </c>
      <c r="Y109" s="4" t="s">
        <v>169</v>
      </c>
      <c r="Z109" s="4" t="s">
        <v>57</v>
      </c>
      <c r="AA109" s="4">
        <v>6</v>
      </c>
      <c r="AB109" s="4">
        <f>ROUND(I109*(1-AA109/100),-1)</f>
        <v>2440</v>
      </c>
      <c r="AC109" s="4">
        <f t="shared" si="1"/>
        <v>2600</v>
      </c>
      <c r="AD109" s="4">
        <v>20</v>
      </c>
      <c r="AE109" s="4">
        <v>15</v>
      </c>
      <c r="AF109" s="4">
        <v>9</v>
      </c>
      <c r="AG109" s="4">
        <v>45</v>
      </c>
      <c r="AH109" s="4">
        <v>275</v>
      </c>
      <c r="AI109" s="4">
        <f>ROUND(300*I109*(1+AE109/100+AF109/100),0)</f>
        <v>967200</v>
      </c>
      <c r="AJ109" s="4">
        <v>4.7</v>
      </c>
      <c r="AK109" s="4">
        <v>803</v>
      </c>
      <c r="AL109" s="4" t="s">
        <v>111</v>
      </c>
      <c r="AM109" s="4" t="s">
        <v>59</v>
      </c>
    </row>
    <row r="110" spans="1:39" ht="256.5">
      <c r="A110" s="4" t="s">
        <v>981</v>
      </c>
      <c r="B110" s="4" t="s">
        <v>982</v>
      </c>
      <c r="C110" s="4" t="s">
        <v>94</v>
      </c>
      <c r="D110" s="4" t="s">
        <v>983</v>
      </c>
      <c r="E110" s="4" t="s">
        <v>984</v>
      </c>
      <c r="F110" s="4" t="s">
        <v>65</v>
      </c>
      <c r="G110" s="4" t="s">
        <v>985</v>
      </c>
      <c r="H110" s="4" t="s">
        <v>986</v>
      </c>
      <c r="I110" s="4">
        <v>1650</v>
      </c>
      <c r="J110" s="4">
        <v>2400</v>
      </c>
      <c r="K110" s="4">
        <v>3700</v>
      </c>
      <c r="L110" s="4">
        <v>675</v>
      </c>
      <c r="M110" s="4" t="s">
        <v>40</v>
      </c>
      <c r="N110" s="4" t="s">
        <v>40</v>
      </c>
      <c r="O110" s="4" t="s">
        <v>50</v>
      </c>
      <c r="P110" s="4">
        <v>160</v>
      </c>
      <c r="Q110" s="4" t="s">
        <v>987</v>
      </c>
      <c r="R110" s="4" t="s">
        <v>988</v>
      </c>
      <c r="S110" s="4" t="s">
        <v>50</v>
      </c>
      <c r="T110" s="4" t="s">
        <v>50</v>
      </c>
      <c r="U110" s="4" t="s">
        <v>50</v>
      </c>
      <c r="V110" s="4" t="s">
        <v>759</v>
      </c>
      <c r="W110" s="4" t="s">
        <v>54</v>
      </c>
      <c r="X110" s="4" t="s">
        <v>55</v>
      </c>
      <c r="Y110" s="4" t="s">
        <v>81</v>
      </c>
      <c r="Z110" s="4" t="s">
        <v>70</v>
      </c>
      <c r="AA110" s="4">
        <v>5</v>
      </c>
      <c r="AB110" s="4">
        <f>ROUND(I110*(1-AA110/100),-1)</f>
        <v>1570</v>
      </c>
      <c r="AC110" s="4">
        <f t="shared" si="1"/>
        <v>1650</v>
      </c>
      <c r="AD110" s="4">
        <v>16</v>
      </c>
      <c r="AE110" s="4">
        <v>15</v>
      </c>
      <c r="AF110" s="4">
        <v>9</v>
      </c>
      <c r="AG110" s="4">
        <v>34</v>
      </c>
      <c r="AH110" s="4">
        <v>250</v>
      </c>
      <c r="AI110" s="4">
        <f>ROUND(300*I110*(1+AE110/100+AF110/100),0)</f>
        <v>613800</v>
      </c>
      <c r="AJ110" s="4">
        <v>4.4000000000000004</v>
      </c>
      <c r="AK110" s="4">
        <v>96</v>
      </c>
      <c r="AL110" s="4" t="s">
        <v>58</v>
      </c>
      <c r="AM110" s="4" t="s">
        <v>59</v>
      </c>
    </row>
    <row r="111" spans="1:39" ht="228">
      <c r="A111" s="4" t="s">
        <v>989</v>
      </c>
      <c r="B111" s="4" t="s">
        <v>990</v>
      </c>
      <c r="C111" s="4" t="s">
        <v>72</v>
      </c>
      <c r="D111" s="4" t="s">
        <v>991</v>
      </c>
      <c r="E111" s="4" t="s">
        <v>992</v>
      </c>
      <c r="F111" s="4" t="s">
        <v>163</v>
      </c>
      <c r="G111" s="4" t="s">
        <v>993</v>
      </c>
      <c r="H111" s="4" t="s">
        <v>994</v>
      </c>
      <c r="I111" s="4">
        <v>2200</v>
      </c>
      <c r="J111" s="4">
        <v>2950</v>
      </c>
      <c r="K111" s="4">
        <v>4250</v>
      </c>
      <c r="L111" s="4">
        <v>625</v>
      </c>
      <c r="M111" s="4" t="s">
        <v>48</v>
      </c>
      <c r="N111" s="4" t="s">
        <v>60</v>
      </c>
      <c r="O111" s="4" t="s">
        <v>50</v>
      </c>
      <c r="P111" s="4">
        <v>150</v>
      </c>
      <c r="Q111" s="4" t="s">
        <v>995</v>
      </c>
      <c r="R111" s="4" t="s">
        <v>996</v>
      </c>
      <c r="S111" s="4" t="s">
        <v>50</v>
      </c>
      <c r="T111" s="4" t="s">
        <v>50</v>
      </c>
      <c r="U111" s="4" t="s">
        <v>50</v>
      </c>
      <c r="V111" s="4" t="s">
        <v>296</v>
      </c>
      <c r="W111" s="4" t="s">
        <v>54</v>
      </c>
      <c r="X111" s="4" t="s">
        <v>55</v>
      </c>
      <c r="Y111" s="4" t="s">
        <v>169</v>
      </c>
      <c r="Z111" s="4" t="s">
        <v>57</v>
      </c>
      <c r="AA111" s="4">
        <v>8</v>
      </c>
      <c r="AB111" s="4">
        <f>ROUND(I111*(1-AA111/100),-1)</f>
        <v>2020</v>
      </c>
      <c r="AC111" s="4">
        <f t="shared" si="1"/>
        <v>2200</v>
      </c>
      <c r="AD111" s="4">
        <v>14</v>
      </c>
      <c r="AE111" s="4">
        <v>15</v>
      </c>
      <c r="AF111" s="4">
        <v>8</v>
      </c>
      <c r="AG111" s="4">
        <v>43</v>
      </c>
      <c r="AH111" s="4">
        <v>250</v>
      </c>
      <c r="AI111" s="4">
        <f>ROUND(300*I111*(1+AE111/100+AF111/100),0)</f>
        <v>811800</v>
      </c>
      <c r="AJ111" s="4">
        <v>4.9000000000000004</v>
      </c>
      <c r="AK111" s="4">
        <v>154</v>
      </c>
      <c r="AL111" s="4" t="s">
        <v>111</v>
      </c>
      <c r="AM111" s="4" t="s">
        <v>59</v>
      </c>
    </row>
    <row r="112" spans="1:39" ht="228">
      <c r="A112" s="4" t="s">
        <v>997</v>
      </c>
      <c r="B112" s="4" t="s">
        <v>998</v>
      </c>
      <c r="C112" s="4" t="s">
        <v>94</v>
      </c>
      <c r="D112" s="4" t="s">
        <v>999</v>
      </c>
      <c r="E112" s="4" t="s">
        <v>1000</v>
      </c>
      <c r="F112" s="4" t="s">
        <v>65</v>
      </c>
      <c r="G112" s="4" t="s">
        <v>1001</v>
      </c>
      <c r="H112" s="4" t="s">
        <v>1002</v>
      </c>
      <c r="I112" s="4">
        <v>1750</v>
      </c>
      <c r="J112" s="4">
        <v>2350</v>
      </c>
      <c r="K112" s="4">
        <v>4050</v>
      </c>
      <c r="L112" s="4">
        <v>475</v>
      </c>
      <c r="M112" s="4" t="s">
        <v>48</v>
      </c>
      <c r="N112" s="4" t="s">
        <v>40</v>
      </c>
      <c r="O112" s="4" t="s">
        <v>50</v>
      </c>
      <c r="P112" s="4">
        <v>105</v>
      </c>
      <c r="Q112" s="4" t="s">
        <v>1003</v>
      </c>
      <c r="R112" s="4" t="s">
        <v>1004</v>
      </c>
      <c r="S112" s="4" t="s">
        <v>50</v>
      </c>
      <c r="T112" s="4" t="s">
        <v>50</v>
      </c>
      <c r="U112" s="4" t="s">
        <v>50</v>
      </c>
      <c r="V112" s="4" t="s">
        <v>608</v>
      </c>
      <c r="W112" s="4" t="s">
        <v>54</v>
      </c>
      <c r="X112" s="4" t="s">
        <v>55</v>
      </c>
      <c r="Y112" s="4" t="s">
        <v>69</v>
      </c>
      <c r="Z112" s="4" t="s">
        <v>70</v>
      </c>
      <c r="AA112" s="4">
        <v>12</v>
      </c>
      <c r="AB112" s="4">
        <f>ROUND(I112*(1-AA112/100),-1)</f>
        <v>1540</v>
      </c>
      <c r="AC112" s="4">
        <f t="shared" si="1"/>
        <v>1750</v>
      </c>
      <c r="AD112" s="4">
        <v>14</v>
      </c>
      <c r="AE112" s="4">
        <v>15</v>
      </c>
      <c r="AF112" s="4">
        <v>8</v>
      </c>
      <c r="AG112" s="4">
        <v>45</v>
      </c>
      <c r="AH112" s="4">
        <v>150</v>
      </c>
      <c r="AI112" s="4">
        <f>ROUND(300*I112*(1+AE112/100+AF112/100),0)</f>
        <v>645750</v>
      </c>
      <c r="AJ112" s="4">
        <v>4.8</v>
      </c>
      <c r="AK112" s="4">
        <v>835</v>
      </c>
      <c r="AL112" s="4" t="s">
        <v>58</v>
      </c>
      <c r="AM112" s="4" t="s">
        <v>59</v>
      </c>
    </row>
    <row r="113" spans="1:39" ht="256.5">
      <c r="A113" s="4" t="s">
        <v>1005</v>
      </c>
      <c r="B113" s="4" t="s">
        <v>1006</v>
      </c>
      <c r="C113" s="4" t="s">
        <v>72</v>
      </c>
      <c r="D113" s="4" t="s">
        <v>1007</v>
      </c>
      <c r="E113" s="4" t="s">
        <v>975</v>
      </c>
      <c r="F113" s="4" t="s">
        <v>163</v>
      </c>
      <c r="G113" s="4" t="s">
        <v>1008</v>
      </c>
      <c r="H113" s="4" t="s">
        <v>1009</v>
      </c>
      <c r="I113" s="4">
        <v>2600</v>
      </c>
      <c r="J113" s="4">
        <v>3200</v>
      </c>
      <c r="K113" s="4">
        <v>4800</v>
      </c>
      <c r="L113" s="4">
        <v>625</v>
      </c>
      <c r="M113" s="4" t="s">
        <v>40</v>
      </c>
      <c r="N113" s="4" t="s">
        <v>40</v>
      </c>
      <c r="O113" s="4" t="s">
        <v>50</v>
      </c>
      <c r="P113" s="4">
        <v>130</v>
      </c>
      <c r="Q113" s="4" t="s">
        <v>1010</v>
      </c>
      <c r="R113" s="4" t="s">
        <v>1011</v>
      </c>
      <c r="S113" s="4" t="s">
        <v>50</v>
      </c>
      <c r="T113" s="4" t="s">
        <v>50</v>
      </c>
      <c r="U113" s="4" t="s">
        <v>50</v>
      </c>
      <c r="V113" s="4" t="s">
        <v>168</v>
      </c>
      <c r="W113" s="4" t="s">
        <v>54</v>
      </c>
      <c r="X113" s="4" t="s">
        <v>55</v>
      </c>
      <c r="Y113" s="4" t="s">
        <v>169</v>
      </c>
      <c r="Z113" s="4" t="s">
        <v>57</v>
      </c>
      <c r="AA113" s="4">
        <v>12</v>
      </c>
      <c r="AB113" s="4">
        <f>ROUND(I113*(1-AA113/100),-1)</f>
        <v>2290</v>
      </c>
      <c r="AC113" s="4">
        <f t="shared" si="1"/>
        <v>2600</v>
      </c>
      <c r="AD113" s="4">
        <v>19</v>
      </c>
      <c r="AE113" s="4">
        <v>15</v>
      </c>
      <c r="AF113" s="4">
        <v>10</v>
      </c>
      <c r="AG113" s="4">
        <v>39</v>
      </c>
      <c r="AH113" s="4">
        <v>225</v>
      </c>
      <c r="AI113" s="4">
        <f>ROUND(300*I113*(1+AE113/100+AF113/100),0)</f>
        <v>975000</v>
      </c>
      <c r="AJ113" s="4">
        <v>4.5999999999999996</v>
      </c>
      <c r="AK113" s="4">
        <v>508</v>
      </c>
      <c r="AL113" s="4" t="s">
        <v>111</v>
      </c>
      <c r="AM113" s="4" t="s">
        <v>59</v>
      </c>
    </row>
    <row r="114" spans="1:39" ht="213.75">
      <c r="A114" s="4" t="s">
        <v>1012</v>
      </c>
      <c r="B114" s="4" t="s">
        <v>1013</v>
      </c>
      <c r="C114" s="4" t="s">
        <v>94</v>
      </c>
      <c r="D114" s="4" t="s">
        <v>1014</v>
      </c>
      <c r="E114" s="4" t="s">
        <v>1015</v>
      </c>
      <c r="F114" s="4" t="s">
        <v>192</v>
      </c>
      <c r="G114" s="4" t="s">
        <v>1016</v>
      </c>
      <c r="H114" s="4" t="s">
        <v>1017</v>
      </c>
      <c r="I114" s="4">
        <v>1850</v>
      </c>
      <c r="J114" s="4">
        <v>2650</v>
      </c>
      <c r="K114" s="4">
        <v>4550</v>
      </c>
      <c r="L114" s="4">
        <v>325</v>
      </c>
      <c r="M114" s="4" t="s">
        <v>48</v>
      </c>
      <c r="N114" s="4" t="s">
        <v>40</v>
      </c>
      <c r="O114" s="4" t="s">
        <v>50</v>
      </c>
      <c r="P114" s="4">
        <v>65</v>
      </c>
      <c r="Q114" s="4" t="s">
        <v>1018</v>
      </c>
      <c r="R114" s="4" t="s">
        <v>1019</v>
      </c>
      <c r="S114" s="4" t="s">
        <v>50</v>
      </c>
      <c r="T114" s="4" t="s">
        <v>50</v>
      </c>
      <c r="U114" s="4" t="s">
        <v>50</v>
      </c>
      <c r="V114" s="4" t="s">
        <v>197</v>
      </c>
      <c r="W114" s="4" t="s">
        <v>54</v>
      </c>
      <c r="X114" s="4" t="s">
        <v>55</v>
      </c>
      <c r="Y114" s="4" t="s">
        <v>69</v>
      </c>
      <c r="Z114" s="4" t="s">
        <v>70</v>
      </c>
      <c r="AA114" s="4">
        <v>10</v>
      </c>
      <c r="AB114" s="4">
        <f>ROUND(I114*(1-AA114/100),-1)</f>
        <v>1670</v>
      </c>
      <c r="AC114" s="4">
        <f t="shared" si="1"/>
        <v>1850</v>
      </c>
      <c r="AD114" s="4">
        <v>18</v>
      </c>
      <c r="AE114" s="4">
        <v>15</v>
      </c>
      <c r="AF114" s="4">
        <v>9</v>
      </c>
      <c r="AG114" s="4">
        <v>32</v>
      </c>
      <c r="AH114" s="4">
        <v>100</v>
      </c>
      <c r="AI114" s="4">
        <f>ROUND(300*I114*(1+AE114/100+AF114/100),0)</f>
        <v>688200</v>
      </c>
      <c r="AJ114" s="4">
        <v>4.5</v>
      </c>
      <c r="AK114" s="4">
        <v>416</v>
      </c>
      <c r="AL114" s="4" t="s">
        <v>111</v>
      </c>
      <c r="AM114" s="4" t="s">
        <v>59</v>
      </c>
    </row>
    <row r="115" spans="1:39" ht="228">
      <c r="A115" s="4" t="s">
        <v>1020</v>
      </c>
      <c r="B115" s="4" t="s">
        <v>1021</v>
      </c>
      <c r="C115" s="4" t="s">
        <v>94</v>
      </c>
      <c r="D115" s="4" t="s">
        <v>1022</v>
      </c>
      <c r="E115" s="4" t="s">
        <v>1023</v>
      </c>
      <c r="F115" s="4" t="s">
        <v>86</v>
      </c>
      <c r="G115" s="4" t="s">
        <v>1024</v>
      </c>
      <c r="H115" s="4" t="s">
        <v>1025</v>
      </c>
      <c r="I115" s="4">
        <v>1850</v>
      </c>
      <c r="J115" s="4">
        <v>2650</v>
      </c>
      <c r="K115" s="4">
        <v>4350</v>
      </c>
      <c r="L115" s="4">
        <v>650</v>
      </c>
      <c r="M115" s="4" t="s">
        <v>48</v>
      </c>
      <c r="N115" s="4" t="s">
        <v>40</v>
      </c>
      <c r="O115" s="4" t="s">
        <v>50</v>
      </c>
      <c r="P115" s="4">
        <v>130</v>
      </c>
      <c r="Q115" s="4" t="s">
        <v>1026</v>
      </c>
      <c r="R115" s="4" t="s">
        <v>1027</v>
      </c>
      <c r="S115" s="4" t="s">
        <v>50</v>
      </c>
      <c r="T115" s="4" t="s">
        <v>50</v>
      </c>
      <c r="U115" s="4" t="s">
        <v>50</v>
      </c>
      <c r="V115" s="4" t="s">
        <v>1028</v>
      </c>
      <c r="W115" s="4" t="s">
        <v>54</v>
      </c>
      <c r="X115" s="4" t="s">
        <v>55</v>
      </c>
      <c r="Y115" s="4" t="s">
        <v>69</v>
      </c>
      <c r="Z115" s="4" t="s">
        <v>70</v>
      </c>
      <c r="AA115" s="4">
        <v>10</v>
      </c>
      <c r="AB115" s="4">
        <f>ROUND(I115*(1-AA115/100),-1)</f>
        <v>1670</v>
      </c>
      <c r="AC115" s="4">
        <f t="shared" si="1"/>
        <v>1850</v>
      </c>
      <c r="AD115" s="4">
        <v>17</v>
      </c>
      <c r="AE115" s="4">
        <v>15</v>
      </c>
      <c r="AF115" s="4">
        <v>6</v>
      </c>
      <c r="AG115" s="4">
        <v>31</v>
      </c>
      <c r="AH115" s="4">
        <v>175</v>
      </c>
      <c r="AI115" s="4">
        <f>ROUND(300*I115*(1+AE115/100+AF115/100),0)</f>
        <v>671550</v>
      </c>
      <c r="AJ115" s="4">
        <v>4.5</v>
      </c>
      <c r="AK115" s="4">
        <v>308</v>
      </c>
      <c r="AL115" s="4" t="s">
        <v>111</v>
      </c>
      <c r="AM115" s="4" t="s">
        <v>59</v>
      </c>
    </row>
    <row r="116" spans="1:39" ht="228">
      <c r="A116" s="4" t="s">
        <v>1029</v>
      </c>
      <c r="B116" s="4" t="s">
        <v>1030</v>
      </c>
      <c r="C116" s="4" t="s">
        <v>94</v>
      </c>
      <c r="D116" s="4" t="s">
        <v>1031</v>
      </c>
      <c r="E116" s="4" t="s">
        <v>1032</v>
      </c>
      <c r="F116" s="4" t="s">
        <v>75</v>
      </c>
      <c r="G116" s="4" t="s">
        <v>1033</v>
      </c>
      <c r="H116" s="4" t="s">
        <v>1034</v>
      </c>
      <c r="I116" s="4">
        <v>1850</v>
      </c>
      <c r="J116" s="4">
        <v>2350</v>
      </c>
      <c r="K116" s="4">
        <v>4350</v>
      </c>
      <c r="L116" s="4">
        <v>600</v>
      </c>
      <c r="M116" s="4" t="s">
        <v>48</v>
      </c>
      <c r="N116" s="4" t="s">
        <v>40</v>
      </c>
      <c r="O116" s="4" t="s">
        <v>50</v>
      </c>
      <c r="P116" s="4">
        <v>130</v>
      </c>
      <c r="Q116" s="4" t="s">
        <v>1026</v>
      </c>
      <c r="R116" s="4" t="s">
        <v>1035</v>
      </c>
      <c r="S116" s="4" t="s">
        <v>50</v>
      </c>
      <c r="T116" s="4" t="s">
        <v>50</v>
      </c>
      <c r="U116" s="4" t="s">
        <v>50</v>
      </c>
      <c r="V116" s="4" t="s">
        <v>187</v>
      </c>
      <c r="W116" s="4" t="s">
        <v>54</v>
      </c>
      <c r="X116" s="4" t="s">
        <v>55</v>
      </c>
      <c r="Y116" s="4" t="s">
        <v>69</v>
      </c>
      <c r="Z116" s="4" t="s">
        <v>70</v>
      </c>
      <c r="AA116" s="4">
        <v>5</v>
      </c>
      <c r="AB116" s="4">
        <f>ROUND(I116*(1-AA116/100),-1)</f>
        <v>1760</v>
      </c>
      <c r="AC116" s="4">
        <f t="shared" si="1"/>
        <v>1850</v>
      </c>
      <c r="AD116" s="4">
        <v>16</v>
      </c>
      <c r="AE116" s="4">
        <v>15</v>
      </c>
      <c r="AF116" s="4">
        <v>8</v>
      </c>
      <c r="AG116" s="4">
        <v>31</v>
      </c>
      <c r="AH116" s="4">
        <v>225</v>
      </c>
      <c r="AI116" s="4">
        <f>ROUND(300*I116*(1+AE116/100+AF116/100),0)</f>
        <v>682650</v>
      </c>
      <c r="AJ116" s="4">
        <v>4.3</v>
      </c>
      <c r="AK116" s="4">
        <v>390</v>
      </c>
      <c r="AL116" s="4" t="s">
        <v>58</v>
      </c>
      <c r="AM116" s="4" t="s">
        <v>59</v>
      </c>
    </row>
    <row r="117" spans="1:39" ht="228">
      <c r="A117" s="4" t="s">
        <v>1036</v>
      </c>
      <c r="B117" s="4" t="s">
        <v>1037</v>
      </c>
      <c r="C117" s="4" t="s">
        <v>94</v>
      </c>
      <c r="D117" s="4" t="s">
        <v>1038</v>
      </c>
      <c r="E117" s="4" t="s">
        <v>1039</v>
      </c>
      <c r="F117" s="4" t="s">
        <v>153</v>
      </c>
      <c r="G117" s="4" t="s">
        <v>1040</v>
      </c>
      <c r="H117" s="4" t="s">
        <v>1041</v>
      </c>
      <c r="I117" s="4">
        <v>2100</v>
      </c>
      <c r="J117" s="4">
        <v>2550</v>
      </c>
      <c r="K117" s="4">
        <v>4300</v>
      </c>
      <c r="L117" s="4">
        <v>525</v>
      </c>
      <c r="M117" s="4" t="s">
        <v>48</v>
      </c>
      <c r="N117" s="4" t="s">
        <v>40</v>
      </c>
      <c r="O117" s="4" t="s">
        <v>50</v>
      </c>
      <c r="P117" s="4">
        <v>115</v>
      </c>
      <c r="Q117" s="4" t="s">
        <v>1042</v>
      </c>
      <c r="R117" s="4" t="s">
        <v>1043</v>
      </c>
      <c r="S117" s="4" t="s">
        <v>50</v>
      </c>
      <c r="T117" s="4" t="s">
        <v>50</v>
      </c>
      <c r="U117" s="4" t="s">
        <v>50</v>
      </c>
      <c r="V117" s="4" t="s">
        <v>867</v>
      </c>
      <c r="W117" s="4" t="s">
        <v>54</v>
      </c>
      <c r="X117" s="4" t="s">
        <v>55</v>
      </c>
      <c r="Y117" s="4" t="s">
        <v>69</v>
      </c>
      <c r="Z117" s="4" t="s">
        <v>70</v>
      </c>
      <c r="AA117" s="4">
        <v>12</v>
      </c>
      <c r="AB117" s="4">
        <f>ROUND(I117*(1-AA117/100),-1)</f>
        <v>1850</v>
      </c>
      <c r="AC117" s="4">
        <f t="shared" si="1"/>
        <v>2100</v>
      </c>
      <c r="AD117" s="4">
        <v>16</v>
      </c>
      <c r="AE117" s="4">
        <v>15</v>
      </c>
      <c r="AF117" s="4">
        <v>9</v>
      </c>
      <c r="AG117" s="4">
        <v>32</v>
      </c>
      <c r="AH117" s="4">
        <v>175</v>
      </c>
      <c r="AI117" s="4">
        <f>ROUND(300*I117*(1+AE117/100+AF117/100),0)</f>
        <v>781200</v>
      </c>
      <c r="AJ117" s="4">
        <v>4.5999999999999996</v>
      </c>
      <c r="AK117" s="4">
        <v>470</v>
      </c>
      <c r="AL117" s="4" t="s">
        <v>111</v>
      </c>
      <c r="AM117" s="4" t="s">
        <v>59</v>
      </c>
    </row>
    <row r="118" spans="1:39" ht="228">
      <c r="A118" s="4" t="s">
        <v>1044</v>
      </c>
      <c r="B118" s="4" t="s">
        <v>1045</v>
      </c>
      <c r="C118" s="4" t="s">
        <v>72</v>
      </c>
      <c r="D118" s="4" t="s">
        <v>1046</v>
      </c>
      <c r="E118" s="4" t="s">
        <v>1047</v>
      </c>
      <c r="F118" s="4" t="s">
        <v>75</v>
      </c>
      <c r="G118" s="4" t="s">
        <v>1048</v>
      </c>
      <c r="H118" s="4" t="s">
        <v>1049</v>
      </c>
      <c r="I118" s="4">
        <v>2250</v>
      </c>
      <c r="J118" s="4">
        <v>2900</v>
      </c>
      <c r="K118" s="4">
        <v>4400</v>
      </c>
      <c r="L118" s="4">
        <v>675</v>
      </c>
      <c r="M118" s="4" t="s">
        <v>48</v>
      </c>
      <c r="N118" s="4" t="s">
        <v>60</v>
      </c>
      <c r="O118" s="4" t="s">
        <v>50</v>
      </c>
      <c r="P118" s="4">
        <v>145</v>
      </c>
      <c r="Q118" s="4" t="s">
        <v>1050</v>
      </c>
      <c r="R118" s="4" t="s">
        <v>1051</v>
      </c>
      <c r="S118" s="4" t="s">
        <v>50</v>
      </c>
      <c r="T118" s="4" t="s">
        <v>50</v>
      </c>
      <c r="U118" s="4" t="s">
        <v>50</v>
      </c>
      <c r="V118" s="4" t="s">
        <v>322</v>
      </c>
      <c r="W118" s="4" t="s">
        <v>54</v>
      </c>
      <c r="X118" s="4" t="s">
        <v>55</v>
      </c>
      <c r="Y118" s="4" t="s">
        <v>56</v>
      </c>
      <c r="Z118" s="4" t="s">
        <v>57</v>
      </c>
      <c r="AA118" s="4">
        <v>5</v>
      </c>
      <c r="AB118" s="4">
        <f>ROUND(I118*(1-AA118/100),-1)</f>
        <v>2140</v>
      </c>
      <c r="AC118" s="4">
        <f t="shared" si="1"/>
        <v>2250</v>
      </c>
      <c r="AD118" s="4">
        <v>16</v>
      </c>
      <c r="AE118" s="4">
        <v>15</v>
      </c>
      <c r="AF118" s="4">
        <v>10</v>
      </c>
      <c r="AG118" s="4">
        <v>31</v>
      </c>
      <c r="AH118" s="4">
        <v>225</v>
      </c>
      <c r="AI118" s="4">
        <f>ROUND(300*I118*(1+AE118/100+AF118/100),0)</f>
        <v>843750</v>
      </c>
      <c r="AJ118" s="4">
        <v>3.9</v>
      </c>
      <c r="AK118" s="4">
        <v>738</v>
      </c>
      <c r="AL118" s="4" t="s">
        <v>111</v>
      </c>
      <c r="AM118" s="4" t="s">
        <v>59</v>
      </c>
    </row>
    <row r="119" spans="1:39" ht="228">
      <c r="A119" s="4" t="s">
        <v>1052</v>
      </c>
      <c r="B119" s="4" t="s">
        <v>1053</v>
      </c>
      <c r="C119" s="4" t="s">
        <v>94</v>
      </c>
      <c r="D119" s="4" t="s">
        <v>1054</v>
      </c>
      <c r="E119" s="4" t="s">
        <v>1055</v>
      </c>
      <c r="F119" s="4" t="s">
        <v>282</v>
      </c>
      <c r="G119" s="4" t="s">
        <v>1056</v>
      </c>
      <c r="H119" s="4" t="s">
        <v>1057</v>
      </c>
      <c r="I119" s="4">
        <v>1950</v>
      </c>
      <c r="J119" s="4">
        <v>2850</v>
      </c>
      <c r="K119" s="4">
        <v>4100</v>
      </c>
      <c r="L119" s="4">
        <v>550</v>
      </c>
      <c r="M119" s="4" t="s">
        <v>48</v>
      </c>
      <c r="N119" s="4" t="s">
        <v>40</v>
      </c>
      <c r="O119" s="4" t="s">
        <v>50</v>
      </c>
      <c r="P119" s="4">
        <v>140</v>
      </c>
      <c r="Q119" s="4" t="s">
        <v>1058</v>
      </c>
      <c r="R119" s="4" t="s">
        <v>1059</v>
      </c>
      <c r="S119" s="4" t="s">
        <v>50</v>
      </c>
      <c r="T119" s="4" t="s">
        <v>50</v>
      </c>
      <c r="U119" s="4" t="s">
        <v>50</v>
      </c>
      <c r="V119" s="4" t="s">
        <v>1060</v>
      </c>
      <c r="W119" s="4" t="s">
        <v>54</v>
      </c>
      <c r="X119" s="4" t="s">
        <v>55</v>
      </c>
      <c r="Y119" s="4" t="s">
        <v>69</v>
      </c>
      <c r="Z119" s="4" t="s">
        <v>70</v>
      </c>
      <c r="AA119" s="4">
        <v>11</v>
      </c>
      <c r="AB119" s="4">
        <f>ROUND(I119*(1-AA119/100),-1)</f>
        <v>1740</v>
      </c>
      <c r="AC119" s="4">
        <f t="shared" si="1"/>
        <v>1950</v>
      </c>
      <c r="AD119" s="4">
        <v>10</v>
      </c>
      <c r="AE119" s="4">
        <v>15</v>
      </c>
      <c r="AF119" s="4">
        <v>6</v>
      </c>
      <c r="AG119" s="4">
        <v>32</v>
      </c>
      <c r="AH119" s="4">
        <v>175</v>
      </c>
      <c r="AI119" s="4">
        <f>ROUND(300*I119*(1+AE119/100+AF119/100),0)</f>
        <v>707850</v>
      </c>
      <c r="AJ119" s="4">
        <v>4.5999999999999996</v>
      </c>
      <c r="AK119" s="4">
        <v>419</v>
      </c>
      <c r="AL119" s="4" t="s">
        <v>111</v>
      </c>
      <c r="AM119" s="4" t="s">
        <v>59</v>
      </c>
    </row>
    <row r="120" spans="1:39" ht="213.75">
      <c r="A120" s="4" t="s">
        <v>1061</v>
      </c>
      <c r="B120" s="4" t="s">
        <v>1062</v>
      </c>
      <c r="C120" s="4" t="s">
        <v>700</v>
      </c>
      <c r="D120" s="4" t="s">
        <v>1063</v>
      </c>
      <c r="E120" s="4" t="s">
        <v>1064</v>
      </c>
      <c r="F120" s="4" t="s">
        <v>65</v>
      </c>
      <c r="G120" s="4" t="s">
        <v>1065</v>
      </c>
      <c r="H120" s="4" t="s">
        <v>1066</v>
      </c>
      <c r="I120" s="4">
        <v>1550</v>
      </c>
      <c r="J120" s="4">
        <v>2450</v>
      </c>
      <c r="K120" s="4">
        <v>4300</v>
      </c>
      <c r="L120" s="4">
        <v>375</v>
      </c>
      <c r="M120" s="4" t="s">
        <v>48</v>
      </c>
      <c r="N120" s="4" t="s">
        <v>40</v>
      </c>
      <c r="O120" s="4" t="s">
        <v>50</v>
      </c>
      <c r="P120" s="4">
        <v>80</v>
      </c>
      <c r="Q120" s="4" t="s">
        <v>1067</v>
      </c>
      <c r="R120" s="4" t="s">
        <v>1068</v>
      </c>
      <c r="S120" s="4" t="s">
        <v>50</v>
      </c>
      <c r="T120" s="4" t="s">
        <v>50</v>
      </c>
      <c r="U120" s="4" t="s">
        <v>50</v>
      </c>
      <c r="V120" s="4" t="s">
        <v>705</v>
      </c>
      <c r="W120" s="4" t="s">
        <v>54</v>
      </c>
      <c r="X120" s="4" t="s">
        <v>55</v>
      </c>
      <c r="Y120" s="4" t="s">
        <v>69</v>
      </c>
      <c r="Z120" s="4" t="s">
        <v>706</v>
      </c>
      <c r="AA120" s="4">
        <v>11</v>
      </c>
      <c r="AB120" s="4">
        <f>ROUND(I120*(1-AA120/100),-1)</f>
        <v>1380</v>
      </c>
      <c r="AC120" s="4">
        <f t="shared" si="1"/>
        <v>1550</v>
      </c>
      <c r="AD120" s="4">
        <v>12</v>
      </c>
      <c r="AE120" s="4">
        <v>15</v>
      </c>
      <c r="AF120" s="4">
        <v>9</v>
      </c>
      <c r="AG120" s="4">
        <v>30</v>
      </c>
      <c r="AH120" s="4">
        <v>125</v>
      </c>
      <c r="AI120" s="4">
        <f>ROUND(300*I120*(1+AE120/100+AF120/100),0)</f>
        <v>576600</v>
      </c>
      <c r="AJ120" s="4">
        <v>4.7</v>
      </c>
      <c r="AK120" s="4">
        <v>194</v>
      </c>
      <c r="AL120" s="4" t="s">
        <v>111</v>
      </c>
      <c r="AM120" s="4" t="s">
        <v>59</v>
      </c>
    </row>
    <row r="121" spans="1:39" ht="256.5">
      <c r="A121" s="4" t="s">
        <v>1069</v>
      </c>
      <c r="B121" s="4" t="s">
        <v>1070</v>
      </c>
      <c r="C121" s="4" t="s">
        <v>94</v>
      </c>
      <c r="D121" s="4" t="s">
        <v>1071</v>
      </c>
      <c r="E121" s="4" t="s">
        <v>1072</v>
      </c>
      <c r="F121" s="4" t="s">
        <v>65</v>
      </c>
      <c r="G121" s="4" t="s">
        <v>1073</v>
      </c>
      <c r="H121" s="4" t="s">
        <v>1074</v>
      </c>
      <c r="I121" s="4">
        <v>1750</v>
      </c>
      <c r="J121" s="4">
        <v>2500</v>
      </c>
      <c r="K121" s="4">
        <v>3600</v>
      </c>
      <c r="L121" s="4">
        <v>725</v>
      </c>
      <c r="M121" s="4" t="s">
        <v>40</v>
      </c>
      <c r="N121" s="4" t="s">
        <v>40</v>
      </c>
      <c r="O121" s="4" t="s">
        <v>50</v>
      </c>
      <c r="P121" s="4">
        <v>145</v>
      </c>
      <c r="Q121" s="4" t="s">
        <v>1075</v>
      </c>
      <c r="R121" s="4" t="s">
        <v>1076</v>
      </c>
      <c r="S121" s="4" t="s">
        <v>50</v>
      </c>
      <c r="T121" s="4" t="s">
        <v>50</v>
      </c>
      <c r="U121" s="4" t="s">
        <v>50</v>
      </c>
      <c r="V121" s="4" t="s">
        <v>1077</v>
      </c>
      <c r="W121" s="4" t="s">
        <v>54</v>
      </c>
      <c r="X121" s="4" t="s">
        <v>55</v>
      </c>
      <c r="Y121" s="4" t="s">
        <v>81</v>
      </c>
      <c r="Z121" s="4" t="s">
        <v>70</v>
      </c>
      <c r="AA121" s="4">
        <v>9</v>
      </c>
      <c r="AB121" s="4">
        <f>ROUND(I121*(1-AA121/100),-1)</f>
        <v>1590</v>
      </c>
      <c r="AC121" s="4">
        <f t="shared" si="1"/>
        <v>1750</v>
      </c>
      <c r="AD121" s="4">
        <v>14</v>
      </c>
      <c r="AE121" s="4">
        <v>15</v>
      </c>
      <c r="AF121" s="4">
        <v>8</v>
      </c>
      <c r="AG121" s="4">
        <v>41</v>
      </c>
      <c r="AH121" s="4">
        <v>250</v>
      </c>
      <c r="AI121" s="4">
        <f>ROUND(300*I121*(1+AE121/100+AF121/100),0)</f>
        <v>645750</v>
      </c>
      <c r="AJ121" s="4">
        <v>3.9</v>
      </c>
      <c r="AK121" s="4">
        <v>351</v>
      </c>
      <c r="AL121" s="4" t="s">
        <v>58</v>
      </c>
      <c r="AM121" s="4" t="s">
        <v>59</v>
      </c>
    </row>
    <row r="122" spans="1:39" ht="228">
      <c r="A122" s="4" t="s">
        <v>1078</v>
      </c>
      <c r="B122" s="4" t="s">
        <v>1079</v>
      </c>
      <c r="C122" s="4" t="s">
        <v>94</v>
      </c>
      <c r="D122" s="4" t="s">
        <v>1080</v>
      </c>
      <c r="E122" s="4" t="s">
        <v>919</v>
      </c>
      <c r="F122" s="4" t="s">
        <v>75</v>
      </c>
      <c r="G122" s="4" t="s">
        <v>1081</v>
      </c>
      <c r="H122" s="4" t="s">
        <v>1082</v>
      </c>
      <c r="I122" s="4">
        <v>1900</v>
      </c>
      <c r="J122" s="4">
        <v>2800</v>
      </c>
      <c r="K122" s="4">
        <v>3850</v>
      </c>
      <c r="L122" s="4">
        <v>650</v>
      </c>
      <c r="M122" s="4" t="s">
        <v>48</v>
      </c>
      <c r="N122" s="4" t="s">
        <v>40</v>
      </c>
      <c r="O122" s="4" t="s">
        <v>50</v>
      </c>
      <c r="P122" s="4">
        <v>160</v>
      </c>
      <c r="Q122" s="4" t="s">
        <v>176</v>
      </c>
      <c r="R122" s="4" t="s">
        <v>1083</v>
      </c>
      <c r="S122" s="4" t="s">
        <v>50</v>
      </c>
      <c r="T122" s="4" t="s">
        <v>50</v>
      </c>
      <c r="U122" s="4" t="s">
        <v>50</v>
      </c>
      <c r="V122" s="4" t="s">
        <v>187</v>
      </c>
      <c r="W122" s="4" t="s">
        <v>54</v>
      </c>
      <c r="X122" s="4" t="s">
        <v>55</v>
      </c>
      <c r="Y122" s="4" t="s">
        <v>69</v>
      </c>
      <c r="Z122" s="4" t="s">
        <v>70</v>
      </c>
      <c r="AA122" s="4">
        <v>11</v>
      </c>
      <c r="AB122" s="4">
        <f>ROUND(I122*(1-AA122/100),-1)</f>
        <v>1690</v>
      </c>
      <c r="AC122" s="4">
        <f t="shared" si="1"/>
        <v>1900</v>
      </c>
      <c r="AD122" s="4">
        <v>20</v>
      </c>
      <c r="AE122" s="4">
        <v>15</v>
      </c>
      <c r="AF122" s="4">
        <v>5</v>
      </c>
      <c r="AG122" s="4">
        <v>31</v>
      </c>
      <c r="AH122" s="4">
        <v>200</v>
      </c>
      <c r="AI122" s="4">
        <f>ROUND(300*I122*(1+AE122/100+AF122/100),0)</f>
        <v>684000</v>
      </c>
      <c r="AJ122" s="4">
        <v>4</v>
      </c>
      <c r="AK122" s="4">
        <v>200</v>
      </c>
      <c r="AL122" s="4" t="s">
        <v>111</v>
      </c>
      <c r="AM122" s="4" t="s">
        <v>59</v>
      </c>
    </row>
    <row r="123" spans="1:39" ht="228">
      <c r="A123" s="4" t="s">
        <v>1084</v>
      </c>
      <c r="B123" s="4" t="s">
        <v>1085</v>
      </c>
      <c r="C123" s="4" t="s">
        <v>700</v>
      </c>
      <c r="D123" s="4" t="s">
        <v>1086</v>
      </c>
      <c r="E123" s="4" t="s">
        <v>1087</v>
      </c>
      <c r="F123" s="4" t="s">
        <v>65</v>
      </c>
      <c r="G123" s="4" t="s">
        <v>1088</v>
      </c>
      <c r="H123" s="4" t="s">
        <v>1089</v>
      </c>
      <c r="I123" s="4">
        <v>1400</v>
      </c>
      <c r="J123" s="4">
        <v>2200</v>
      </c>
      <c r="K123" s="4">
        <v>3550</v>
      </c>
      <c r="L123" s="4">
        <v>625</v>
      </c>
      <c r="M123" s="4" t="s">
        <v>48</v>
      </c>
      <c r="N123" s="4" t="s">
        <v>40</v>
      </c>
      <c r="O123" s="4" t="s">
        <v>50</v>
      </c>
      <c r="P123" s="4">
        <v>120</v>
      </c>
      <c r="Q123" s="4" t="s">
        <v>1090</v>
      </c>
      <c r="R123" s="4" t="s">
        <v>1091</v>
      </c>
      <c r="S123" s="4" t="s">
        <v>50</v>
      </c>
      <c r="T123" s="4" t="s">
        <v>50</v>
      </c>
      <c r="U123" s="4" t="s">
        <v>50</v>
      </c>
      <c r="V123" s="4" t="s">
        <v>705</v>
      </c>
      <c r="W123" s="4" t="s">
        <v>54</v>
      </c>
      <c r="X123" s="4" t="s">
        <v>55</v>
      </c>
      <c r="Y123" s="4" t="s">
        <v>69</v>
      </c>
      <c r="Z123" s="4" t="s">
        <v>706</v>
      </c>
      <c r="AA123" s="4">
        <v>10</v>
      </c>
      <c r="AB123" s="4">
        <f>ROUND(I123*(1-AA123/100),-1)</f>
        <v>1260</v>
      </c>
      <c r="AC123" s="4">
        <f t="shared" si="1"/>
        <v>1400</v>
      </c>
      <c r="AD123" s="4">
        <v>18</v>
      </c>
      <c r="AE123" s="4">
        <v>15</v>
      </c>
      <c r="AF123" s="4">
        <v>10</v>
      </c>
      <c r="AG123" s="4">
        <v>27</v>
      </c>
      <c r="AH123" s="4">
        <v>225</v>
      </c>
      <c r="AI123" s="4">
        <f>ROUND(300*I123*(1+AE123/100+AF123/100),0)</f>
        <v>525000</v>
      </c>
      <c r="AJ123" s="4">
        <v>4.3</v>
      </c>
      <c r="AK123" s="4">
        <v>44</v>
      </c>
      <c r="AL123" s="4" t="s">
        <v>111</v>
      </c>
      <c r="AM123" s="4" t="s">
        <v>59</v>
      </c>
    </row>
    <row r="124" spans="1:39" ht="256.5">
      <c r="A124" s="4" t="s">
        <v>1092</v>
      </c>
      <c r="B124" s="4" t="s">
        <v>1093</v>
      </c>
      <c r="C124" s="4" t="s">
        <v>72</v>
      </c>
      <c r="D124" s="4" t="s">
        <v>1094</v>
      </c>
      <c r="E124" s="4" t="s">
        <v>1095</v>
      </c>
      <c r="F124" s="4" t="s">
        <v>255</v>
      </c>
      <c r="G124" s="4" t="s">
        <v>1096</v>
      </c>
      <c r="H124" s="4" t="s">
        <v>1097</v>
      </c>
      <c r="I124" s="4">
        <v>2300</v>
      </c>
      <c r="J124" s="4">
        <v>3050</v>
      </c>
      <c r="K124" s="4">
        <v>4650</v>
      </c>
      <c r="L124" s="4">
        <v>550</v>
      </c>
      <c r="M124" s="4" t="s">
        <v>40</v>
      </c>
      <c r="N124" s="4" t="s">
        <v>40</v>
      </c>
      <c r="O124" s="4" t="s">
        <v>50</v>
      </c>
      <c r="P124" s="4">
        <v>145</v>
      </c>
      <c r="Q124" s="4" t="s">
        <v>1098</v>
      </c>
      <c r="R124" s="4" t="s">
        <v>1099</v>
      </c>
      <c r="S124" s="4" t="s">
        <v>50</v>
      </c>
      <c r="T124" s="4" t="s">
        <v>50</v>
      </c>
      <c r="U124" s="4" t="s">
        <v>50</v>
      </c>
      <c r="V124" s="4" t="s">
        <v>260</v>
      </c>
      <c r="W124" s="4" t="s">
        <v>54</v>
      </c>
      <c r="X124" s="4" t="s">
        <v>55</v>
      </c>
      <c r="Y124" s="4" t="s">
        <v>81</v>
      </c>
      <c r="Z124" s="4" t="s">
        <v>57</v>
      </c>
      <c r="AA124" s="4">
        <v>6</v>
      </c>
      <c r="AB124" s="4">
        <f>ROUND(I124*(1-AA124/100),-1)</f>
        <v>2160</v>
      </c>
      <c r="AC124" s="4">
        <f t="shared" si="1"/>
        <v>2300</v>
      </c>
      <c r="AD124" s="4">
        <v>13</v>
      </c>
      <c r="AE124" s="4">
        <v>15</v>
      </c>
      <c r="AF124" s="4">
        <v>5</v>
      </c>
      <c r="AG124" s="4">
        <v>42</v>
      </c>
      <c r="AH124" s="4">
        <v>200</v>
      </c>
      <c r="AI124" s="4">
        <f>ROUND(300*I124*(1+AE124/100+AF124/100),0)</f>
        <v>828000</v>
      </c>
      <c r="AJ124" s="4">
        <v>4.8</v>
      </c>
      <c r="AK124" s="4">
        <v>651</v>
      </c>
      <c r="AL124" s="4" t="s">
        <v>111</v>
      </c>
      <c r="AM124" s="4" t="s">
        <v>59</v>
      </c>
    </row>
    <row r="125" spans="1:39" ht="256.5">
      <c r="A125" s="4" t="s">
        <v>1100</v>
      </c>
      <c r="B125" s="4" t="s">
        <v>1101</v>
      </c>
      <c r="C125" s="4" t="s">
        <v>72</v>
      </c>
      <c r="D125" s="4" t="s">
        <v>1102</v>
      </c>
      <c r="E125" s="4" t="s">
        <v>1103</v>
      </c>
      <c r="F125" s="4" t="s">
        <v>255</v>
      </c>
      <c r="G125" s="4" t="s">
        <v>1104</v>
      </c>
      <c r="H125" s="4" t="s">
        <v>1105</v>
      </c>
      <c r="I125" s="4">
        <v>2300</v>
      </c>
      <c r="J125" s="4">
        <v>2800</v>
      </c>
      <c r="K125" s="4">
        <v>4100</v>
      </c>
      <c r="L125" s="4">
        <v>800</v>
      </c>
      <c r="M125" s="4" t="s">
        <v>40</v>
      </c>
      <c r="N125" s="4" t="s">
        <v>40</v>
      </c>
      <c r="O125" s="4" t="s">
        <v>50</v>
      </c>
      <c r="P125" s="4">
        <v>185</v>
      </c>
      <c r="Q125" s="4" t="s">
        <v>1106</v>
      </c>
      <c r="R125" s="4" t="s">
        <v>1107</v>
      </c>
      <c r="S125" s="4" t="s">
        <v>50</v>
      </c>
      <c r="T125" s="4" t="s">
        <v>50</v>
      </c>
      <c r="U125" s="4" t="s">
        <v>50</v>
      </c>
      <c r="V125" s="4" t="s">
        <v>1108</v>
      </c>
      <c r="W125" s="4" t="s">
        <v>54</v>
      </c>
      <c r="X125" s="4" t="s">
        <v>55</v>
      </c>
      <c r="Y125" s="4" t="s">
        <v>81</v>
      </c>
      <c r="Z125" s="4" t="s">
        <v>57</v>
      </c>
      <c r="AA125" s="4">
        <v>11</v>
      </c>
      <c r="AB125" s="4">
        <f>ROUND(I125*(1-AA125/100),-1)</f>
        <v>2050</v>
      </c>
      <c r="AC125" s="4">
        <f t="shared" si="1"/>
        <v>2300</v>
      </c>
      <c r="AD125" s="4">
        <v>18</v>
      </c>
      <c r="AE125" s="4">
        <v>15</v>
      </c>
      <c r="AF125" s="4">
        <v>5</v>
      </c>
      <c r="AG125" s="4">
        <v>44</v>
      </c>
      <c r="AH125" s="4">
        <v>275</v>
      </c>
      <c r="AI125" s="4">
        <f>ROUND(300*I125*(1+AE125/100+AF125/100),0)</f>
        <v>828000</v>
      </c>
      <c r="AJ125" s="4">
        <v>4.5</v>
      </c>
      <c r="AK125" s="4">
        <v>689</v>
      </c>
      <c r="AL125" s="4" t="s">
        <v>58</v>
      </c>
      <c r="AM125" s="4" t="s">
        <v>59</v>
      </c>
    </row>
    <row r="126" spans="1:39" ht="228">
      <c r="A126" s="4" t="s">
        <v>1109</v>
      </c>
      <c r="B126" s="4" t="s">
        <v>1110</v>
      </c>
      <c r="C126" s="4" t="s">
        <v>94</v>
      </c>
      <c r="D126" s="4" t="s">
        <v>1111</v>
      </c>
      <c r="E126" s="4" t="s">
        <v>1112</v>
      </c>
      <c r="F126" s="4" t="s">
        <v>75</v>
      </c>
      <c r="G126" s="4" t="s">
        <v>1113</v>
      </c>
      <c r="H126" s="4" t="s">
        <v>1114</v>
      </c>
      <c r="I126" s="4">
        <v>1900</v>
      </c>
      <c r="J126" s="4">
        <v>2850</v>
      </c>
      <c r="K126" s="4">
        <v>4550</v>
      </c>
      <c r="L126" s="4">
        <v>625</v>
      </c>
      <c r="M126" s="4" t="s">
        <v>48</v>
      </c>
      <c r="N126" s="4" t="s">
        <v>60</v>
      </c>
      <c r="O126" s="4" t="s">
        <v>50</v>
      </c>
      <c r="P126" s="4">
        <v>130</v>
      </c>
      <c r="Q126" s="4" t="s">
        <v>1115</v>
      </c>
      <c r="R126" s="4" t="s">
        <v>1116</v>
      </c>
      <c r="S126" s="4" t="s">
        <v>50</v>
      </c>
      <c r="T126" s="4" t="s">
        <v>50</v>
      </c>
      <c r="U126" s="4" t="s">
        <v>50</v>
      </c>
      <c r="V126" s="4" t="s">
        <v>224</v>
      </c>
      <c r="W126" s="4" t="s">
        <v>54</v>
      </c>
      <c r="X126" s="4" t="s">
        <v>55</v>
      </c>
      <c r="Y126" s="4" t="s">
        <v>56</v>
      </c>
      <c r="Z126" s="4" t="s">
        <v>70</v>
      </c>
      <c r="AA126" s="4">
        <v>6</v>
      </c>
      <c r="AB126" s="4">
        <f>ROUND(I126*(1-AA126/100),-1)</f>
        <v>1790</v>
      </c>
      <c r="AC126" s="4">
        <f t="shared" si="1"/>
        <v>1900</v>
      </c>
      <c r="AD126" s="4">
        <v>16</v>
      </c>
      <c r="AE126" s="4">
        <v>15</v>
      </c>
      <c r="AF126" s="4">
        <v>5</v>
      </c>
      <c r="AG126" s="4">
        <v>45</v>
      </c>
      <c r="AH126" s="4">
        <v>250</v>
      </c>
      <c r="AI126" s="4">
        <f>ROUND(300*I126*(1+AE126/100+AF126/100),0)</f>
        <v>684000</v>
      </c>
      <c r="AJ126" s="4">
        <v>4</v>
      </c>
      <c r="AK126" s="4">
        <v>357</v>
      </c>
      <c r="AL126" s="4" t="s">
        <v>111</v>
      </c>
      <c r="AM126" s="4" t="s">
        <v>59</v>
      </c>
    </row>
    <row r="127" spans="1:39" ht="256.5">
      <c r="A127" s="4" t="s">
        <v>1117</v>
      </c>
      <c r="B127" s="4" t="s">
        <v>1118</v>
      </c>
      <c r="C127" s="4" t="s">
        <v>72</v>
      </c>
      <c r="D127" s="4" t="s">
        <v>1119</v>
      </c>
      <c r="E127" s="4" t="s">
        <v>1120</v>
      </c>
      <c r="F127" s="4" t="s">
        <v>163</v>
      </c>
      <c r="G127" s="4" t="s">
        <v>1121</v>
      </c>
      <c r="H127" s="4" t="s">
        <v>1122</v>
      </c>
      <c r="I127" s="4">
        <v>2550</v>
      </c>
      <c r="J127" s="4">
        <v>3450</v>
      </c>
      <c r="K127" s="4">
        <v>4550</v>
      </c>
      <c r="L127" s="4">
        <v>700</v>
      </c>
      <c r="M127" s="4" t="s">
        <v>40</v>
      </c>
      <c r="N127" s="4" t="s">
        <v>40</v>
      </c>
      <c r="O127" s="4" t="s">
        <v>50</v>
      </c>
      <c r="P127" s="4">
        <v>145</v>
      </c>
      <c r="Q127" s="4" t="s">
        <v>362</v>
      </c>
      <c r="R127" s="4" t="s">
        <v>1123</v>
      </c>
      <c r="S127" s="4" t="s">
        <v>50</v>
      </c>
      <c r="T127" s="4" t="s">
        <v>50</v>
      </c>
      <c r="U127" s="4" t="s">
        <v>50</v>
      </c>
      <c r="V127" s="4" t="s">
        <v>980</v>
      </c>
      <c r="W127" s="4" t="s">
        <v>54</v>
      </c>
      <c r="X127" s="4" t="s">
        <v>55</v>
      </c>
      <c r="Y127" s="4" t="s">
        <v>169</v>
      </c>
      <c r="Z127" s="4" t="s">
        <v>57</v>
      </c>
      <c r="AA127" s="4">
        <v>6</v>
      </c>
      <c r="AB127" s="4">
        <f>ROUND(I127*(1-AA127/100),-1)</f>
        <v>2400</v>
      </c>
      <c r="AC127" s="4">
        <f t="shared" si="1"/>
        <v>2550</v>
      </c>
      <c r="AD127" s="4">
        <v>17</v>
      </c>
      <c r="AE127" s="4">
        <v>15</v>
      </c>
      <c r="AF127" s="4">
        <v>9</v>
      </c>
      <c r="AG127" s="4">
        <v>39</v>
      </c>
      <c r="AH127" s="4">
        <v>200</v>
      </c>
      <c r="AI127" s="4">
        <f>ROUND(300*I127*(1+AE127/100+AF127/100),0)</f>
        <v>948600</v>
      </c>
      <c r="AJ127" s="4">
        <v>4.9000000000000004</v>
      </c>
      <c r="AK127" s="4">
        <v>174</v>
      </c>
      <c r="AL127" s="4" t="s">
        <v>111</v>
      </c>
      <c r="AM127" s="4" t="s">
        <v>59</v>
      </c>
    </row>
    <row r="128" spans="1:39" ht="256.5">
      <c r="A128" s="4" t="s">
        <v>1124</v>
      </c>
      <c r="B128" s="4" t="s">
        <v>1125</v>
      </c>
      <c r="C128" s="4" t="s">
        <v>72</v>
      </c>
      <c r="D128" s="4" t="s">
        <v>1126</v>
      </c>
      <c r="E128" s="4" t="s">
        <v>1127</v>
      </c>
      <c r="F128" s="4" t="s">
        <v>445</v>
      </c>
      <c r="G128" s="4" t="s">
        <v>1128</v>
      </c>
      <c r="H128" s="4" t="s">
        <v>1129</v>
      </c>
      <c r="I128" s="4">
        <v>2650</v>
      </c>
      <c r="J128" s="4">
        <v>3400</v>
      </c>
      <c r="K128" s="4">
        <v>5050</v>
      </c>
      <c r="L128" s="4">
        <v>975</v>
      </c>
      <c r="M128" s="4" t="s">
        <v>40</v>
      </c>
      <c r="N128" s="4" t="s">
        <v>60</v>
      </c>
      <c r="O128" s="4" t="s">
        <v>50</v>
      </c>
      <c r="P128" s="4">
        <v>255</v>
      </c>
      <c r="Q128" s="4" t="s">
        <v>1130</v>
      </c>
      <c r="R128" s="4" t="s">
        <v>1131</v>
      </c>
      <c r="S128" s="4" t="s">
        <v>50</v>
      </c>
      <c r="T128" s="4" t="s">
        <v>50</v>
      </c>
      <c r="U128" s="4" t="s">
        <v>50</v>
      </c>
      <c r="V128" s="4" t="s">
        <v>1132</v>
      </c>
      <c r="W128" s="4" t="s">
        <v>54</v>
      </c>
      <c r="X128" s="4" t="s">
        <v>55</v>
      </c>
      <c r="Y128" s="4" t="s">
        <v>81</v>
      </c>
      <c r="Z128" s="4" t="s">
        <v>57</v>
      </c>
      <c r="AA128" s="4">
        <v>7</v>
      </c>
      <c r="AB128" s="4">
        <f>ROUND(I128*(1-AA128/100),-1)</f>
        <v>2460</v>
      </c>
      <c r="AC128" s="4">
        <f t="shared" si="1"/>
        <v>2650</v>
      </c>
      <c r="AD128" s="4">
        <v>10</v>
      </c>
      <c r="AE128" s="4">
        <v>15</v>
      </c>
      <c r="AF128" s="4">
        <v>8</v>
      </c>
      <c r="AG128" s="4">
        <v>42</v>
      </c>
      <c r="AH128" s="4">
        <v>325</v>
      </c>
      <c r="AI128" s="4">
        <f>ROUND(300*I128*(1+AE128/100+AF128/100),0)</f>
        <v>977850</v>
      </c>
      <c r="AJ128" s="4">
        <v>4.8</v>
      </c>
      <c r="AK128" s="4">
        <v>704</v>
      </c>
      <c r="AL128" s="4" t="s">
        <v>111</v>
      </c>
      <c r="AM128" s="4" t="s">
        <v>59</v>
      </c>
    </row>
    <row r="129" spans="1:39" ht="228">
      <c r="A129" s="4" t="s">
        <v>1133</v>
      </c>
      <c r="B129" s="4" t="s">
        <v>1134</v>
      </c>
      <c r="C129" s="4" t="s">
        <v>94</v>
      </c>
      <c r="D129" s="4" t="s">
        <v>1135</v>
      </c>
      <c r="E129" s="4" t="s">
        <v>1136</v>
      </c>
      <c r="F129" s="4" t="s">
        <v>192</v>
      </c>
      <c r="G129" s="4" t="s">
        <v>1137</v>
      </c>
      <c r="H129" s="4" t="s">
        <v>1138</v>
      </c>
      <c r="I129" s="4">
        <v>2000</v>
      </c>
      <c r="J129" s="4">
        <v>2900</v>
      </c>
      <c r="K129" s="4">
        <v>4900</v>
      </c>
      <c r="L129" s="4">
        <v>625</v>
      </c>
      <c r="M129" s="4" t="s">
        <v>48</v>
      </c>
      <c r="N129" s="4" t="s">
        <v>40</v>
      </c>
      <c r="O129" s="4" t="s">
        <v>50</v>
      </c>
      <c r="P129" s="4">
        <v>140</v>
      </c>
      <c r="Q129" s="4" t="s">
        <v>1139</v>
      </c>
      <c r="R129" s="4" t="s">
        <v>1140</v>
      </c>
      <c r="S129" s="4" t="s">
        <v>50</v>
      </c>
      <c r="T129" s="4" t="s">
        <v>50</v>
      </c>
      <c r="U129" s="4" t="s">
        <v>50</v>
      </c>
      <c r="V129" s="4" t="s">
        <v>197</v>
      </c>
      <c r="W129" s="4" t="s">
        <v>54</v>
      </c>
      <c r="X129" s="4" t="s">
        <v>55</v>
      </c>
      <c r="Y129" s="4" t="s">
        <v>69</v>
      </c>
      <c r="Z129" s="4" t="s">
        <v>70</v>
      </c>
      <c r="AA129" s="4">
        <v>8</v>
      </c>
      <c r="AB129" s="4">
        <f>ROUND(I129*(1-AA129/100),-1)</f>
        <v>1840</v>
      </c>
      <c r="AC129" s="4">
        <f t="shared" si="1"/>
        <v>2000</v>
      </c>
      <c r="AD129" s="4">
        <v>19</v>
      </c>
      <c r="AE129" s="4">
        <v>15</v>
      </c>
      <c r="AF129" s="4">
        <v>6</v>
      </c>
      <c r="AG129" s="4">
        <v>37</v>
      </c>
      <c r="AH129" s="4">
        <v>200</v>
      </c>
      <c r="AI129" s="4">
        <f>ROUND(300*I129*(1+AE129/100+AF129/100),0)</f>
        <v>726000</v>
      </c>
      <c r="AJ129" s="4">
        <v>4</v>
      </c>
      <c r="AK129" s="4">
        <v>653</v>
      </c>
      <c r="AL129" s="4" t="s">
        <v>111</v>
      </c>
      <c r="AM129" s="4" t="s">
        <v>59</v>
      </c>
    </row>
    <row r="130" spans="1:39" ht="228">
      <c r="A130" s="4" t="s">
        <v>1141</v>
      </c>
      <c r="B130" s="4" t="s">
        <v>1142</v>
      </c>
      <c r="C130" s="4" t="s">
        <v>94</v>
      </c>
      <c r="D130" s="4" t="s">
        <v>1143</v>
      </c>
      <c r="E130" s="4" t="s">
        <v>603</v>
      </c>
      <c r="F130" s="4" t="s">
        <v>65</v>
      </c>
      <c r="G130" s="4" t="s">
        <v>1144</v>
      </c>
      <c r="H130" s="4" t="s">
        <v>1145</v>
      </c>
      <c r="I130" s="4">
        <v>1800</v>
      </c>
      <c r="J130" s="4">
        <v>2400</v>
      </c>
      <c r="K130" s="4">
        <v>3450</v>
      </c>
      <c r="L130" s="4">
        <v>450</v>
      </c>
      <c r="M130" s="4" t="s">
        <v>48</v>
      </c>
      <c r="N130" s="4" t="s">
        <v>40</v>
      </c>
      <c r="O130" s="4" t="s">
        <v>50</v>
      </c>
      <c r="P130" s="4">
        <v>120</v>
      </c>
      <c r="Q130" s="4" t="s">
        <v>1146</v>
      </c>
      <c r="R130" s="4" t="s">
        <v>1147</v>
      </c>
      <c r="S130" s="4" t="s">
        <v>50</v>
      </c>
      <c r="T130" s="4" t="s">
        <v>50</v>
      </c>
      <c r="U130" s="4" t="s">
        <v>50</v>
      </c>
      <c r="V130" s="4" t="s">
        <v>608</v>
      </c>
      <c r="W130" s="4" t="s">
        <v>54</v>
      </c>
      <c r="X130" s="4" t="s">
        <v>55</v>
      </c>
      <c r="Y130" s="4" t="s">
        <v>69</v>
      </c>
      <c r="Z130" s="4" t="s">
        <v>70</v>
      </c>
      <c r="AA130" s="4">
        <v>12</v>
      </c>
      <c r="AB130" s="4">
        <f>ROUND(I130*(1-AA130/100),-1)</f>
        <v>1580</v>
      </c>
      <c r="AC130" s="4">
        <f t="shared" ref="AC130:AC193" si="2">I130</f>
        <v>1800</v>
      </c>
      <c r="AD130" s="4">
        <v>12</v>
      </c>
      <c r="AE130" s="4">
        <v>15</v>
      </c>
      <c r="AF130" s="4">
        <v>7</v>
      </c>
      <c r="AG130" s="4">
        <v>39</v>
      </c>
      <c r="AH130" s="4">
        <v>150</v>
      </c>
      <c r="AI130" s="4">
        <f>ROUND(300*I130*(1+AE130/100+AF130/100),0)</f>
        <v>658800</v>
      </c>
      <c r="AJ130" s="4">
        <v>4.5999999999999996</v>
      </c>
      <c r="AK130" s="4">
        <v>259</v>
      </c>
      <c r="AL130" s="4" t="s">
        <v>111</v>
      </c>
      <c r="AM130" s="4" t="s">
        <v>59</v>
      </c>
    </row>
    <row r="131" spans="1:39" ht="228">
      <c r="A131" s="4" t="s">
        <v>1148</v>
      </c>
      <c r="B131" s="4" t="s">
        <v>1149</v>
      </c>
      <c r="C131" s="4" t="s">
        <v>94</v>
      </c>
      <c r="D131" s="4" t="s">
        <v>1150</v>
      </c>
      <c r="E131" s="4" t="s">
        <v>1151</v>
      </c>
      <c r="F131" s="4" t="s">
        <v>75</v>
      </c>
      <c r="G131" s="4" t="s">
        <v>1152</v>
      </c>
      <c r="H131" s="4" t="s">
        <v>1153</v>
      </c>
      <c r="I131" s="4">
        <v>1800</v>
      </c>
      <c r="J131" s="4">
        <v>2400</v>
      </c>
      <c r="K131" s="4">
        <v>4100</v>
      </c>
      <c r="L131" s="4">
        <v>675</v>
      </c>
      <c r="M131" s="4" t="s">
        <v>48</v>
      </c>
      <c r="N131" s="4" t="s">
        <v>40</v>
      </c>
      <c r="O131" s="4" t="s">
        <v>50</v>
      </c>
      <c r="P131" s="4">
        <v>130</v>
      </c>
      <c r="Q131" s="4" t="s">
        <v>930</v>
      </c>
      <c r="R131" s="4" t="s">
        <v>1154</v>
      </c>
      <c r="S131" s="4" t="s">
        <v>50</v>
      </c>
      <c r="T131" s="4" t="s">
        <v>50</v>
      </c>
      <c r="U131" s="4" t="s">
        <v>50</v>
      </c>
      <c r="V131" s="4" t="s">
        <v>187</v>
      </c>
      <c r="W131" s="4" t="s">
        <v>54</v>
      </c>
      <c r="X131" s="4" t="s">
        <v>55</v>
      </c>
      <c r="Y131" s="4" t="s">
        <v>69</v>
      </c>
      <c r="Z131" s="4" t="s">
        <v>70</v>
      </c>
      <c r="AA131" s="4">
        <v>6</v>
      </c>
      <c r="AB131" s="4">
        <f>ROUND(I131*(1-AA131/100),-1)</f>
        <v>1690</v>
      </c>
      <c r="AC131" s="4">
        <f t="shared" si="2"/>
        <v>1800</v>
      </c>
      <c r="AD131" s="4">
        <v>10</v>
      </c>
      <c r="AE131" s="4">
        <v>15</v>
      </c>
      <c r="AF131" s="4">
        <v>7</v>
      </c>
      <c r="AG131" s="4">
        <v>34</v>
      </c>
      <c r="AH131" s="4">
        <v>200</v>
      </c>
      <c r="AI131" s="4">
        <f>ROUND(300*I131*(1+AE131/100+AF131/100),0)</f>
        <v>658800</v>
      </c>
      <c r="AJ131" s="4">
        <v>4.5999999999999996</v>
      </c>
      <c r="AK131" s="4">
        <v>640</v>
      </c>
      <c r="AL131" s="4" t="s">
        <v>58</v>
      </c>
      <c r="AM131" s="4" t="s">
        <v>59</v>
      </c>
    </row>
    <row r="132" spans="1:39" ht="228">
      <c r="A132" s="4" t="s">
        <v>1155</v>
      </c>
      <c r="B132" s="4" t="s">
        <v>1156</v>
      </c>
      <c r="C132" s="4" t="s">
        <v>94</v>
      </c>
      <c r="D132" s="4" t="s">
        <v>1157</v>
      </c>
      <c r="E132" s="4" t="s">
        <v>1158</v>
      </c>
      <c r="F132" s="4" t="s">
        <v>192</v>
      </c>
      <c r="G132" s="4" t="s">
        <v>1159</v>
      </c>
      <c r="H132" s="4" t="s">
        <v>1160</v>
      </c>
      <c r="I132" s="4">
        <v>2000</v>
      </c>
      <c r="J132" s="4">
        <v>2650</v>
      </c>
      <c r="K132" s="4">
        <v>4200</v>
      </c>
      <c r="L132" s="4">
        <v>700</v>
      </c>
      <c r="M132" s="4" t="s">
        <v>48</v>
      </c>
      <c r="N132" s="4" t="s">
        <v>40</v>
      </c>
      <c r="O132" s="4" t="s">
        <v>50</v>
      </c>
      <c r="P132" s="4">
        <v>135</v>
      </c>
      <c r="Q132" s="4" t="s">
        <v>1161</v>
      </c>
      <c r="R132" s="4" t="s">
        <v>1162</v>
      </c>
      <c r="S132" s="4" t="s">
        <v>50</v>
      </c>
      <c r="T132" s="4" t="s">
        <v>50</v>
      </c>
      <c r="U132" s="4" t="s">
        <v>50</v>
      </c>
      <c r="V132" s="4" t="s">
        <v>197</v>
      </c>
      <c r="W132" s="4" t="s">
        <v>54</v>
      </c>
      <c r="X132" s="4" t="s">
        <v>55</v>
      </c>
      <c r="Y132" s="4" t="s">
        <v>69</v>
      </c>
      <c r="Z132" s="4" t="s">
        <v>70</v>
      </c>
      <c r="AA132" s="4">
        <v>7</v>
      </c>
      <c r="AB132" s="4">
        <f>ROUND(I132*(1-AA132/100),-1)</f>
        <v>1860</v>
      </c>
      <c r="AC132" s="4">
        <f t="shared" si="2"/>
        <v>2000</v>
      </c>
      <c r="AD132" s="4">
        <v>14</v>
      </c>
      <c r="AE132" s="4">
        <v>15</v>
      </c>
      <c r="AF132" s="4">
        <v>5</v>
      </c>
      <c r="AG132" s="4">
        <v>36</v>
      </c>
      <c r="AH132" s="4">
        <v>250</v>
      </c>
      <c r="AI132" s="4">
        <f>ROUND(300*I132*(1+AE132/100+AF132/100),0)</f>
        <v>720000</v>
      </c>
      <c r="AJ132" s="4">
        <v>4.5</v>
      </c>
      <c r="AK132" s="4">
        <v>198</v>
      </c>
      <c r="AL132" s="4" t="s">
        <v>111</v>
      </c>
      <c r="AM132" s="4" t="s">
        <v>59</v>
      </c>
    </row>
    <row r="133" spans="1:39" ht="228">
      <c r="A133" s="4" t="s">
        <v>1163</v>
      </c>
      <c r="B133" s="4" t="s">
        <v>1164</v>
      </c>
      <c r="C133" s="4" t="s">
        <v>72</v>
      </c>
      <c r="D133" s="4" t="s">
        <v>1165</v>
      </c>
      <c r="E133" s="4" t="s">
        <v>1166</v>
      </c>
      <c r="F133" s="4" t="s">
        <v>75</v>
      </c>
      <c r="G133" s="4" t="s">
        <v>1167</v>
      </c>
      <c r="H133" s="4" t="s">
        <v>1168</v>
      </c>
      <c r="I133" s="4">
        <v>2200</v>
      </c>
      <c r="J133" s="4">
        <v>2700</v>
      </c>
      <c r="K133" s="4">
        <v>3800</v>
      </c>
      <c r="L133" s="4">
        <v>500</v>
      </c>
      <c r="M133" s="4" t="s">
        <v>48</v>
      </c>
      <c r="N133" s="4" t="s">
        <v>40</v>
      </c>
      <c r="O133" s="4" t="s">
        <v>50</v>
      </c>
      <c r="P133" s="4">
        <v>135</v>
      </c>
      <c r="Q133" s="4" t="s">
        <v>1169</v>
      </c>
      <c r="R133" s="4" t="s">
        <v>1170</v>
      </c>
      <c r="S133" s="4" t="s">
        <v>50</v>
      </c>
      <c r="T133" s="4" t="s">
        <v>50</v>
      </c>
      <c r="U133" s="4" t="s">
        <v>50</v>
      </c>
      <c r="V133" s="4" t="s">
        <v>206</v>
      </c>
      <c r="W133" s="4" t="s">
        <v>54</v>
      </c>
      <c r="X133" s="4" t="s">
        <v>55</v>
      </c>
      <c r="Y133" s="4" t="s">
        <v>69</v>
      </c>
      <c r="Z133" s="4" t="s">
        <v>57</v>
      </c>
      <c r="AA133" s="4">
        <v>10</v>
      </c>
      <c r="AB133" s="4">
        <f>ROUND(I133*(1-AA133/100),-1)</f>
        <v>1980</v>
      </c>
      <c r="AC133" s="4">
        <f t="shared" si="2"/>
        <v>2200</v>
      </c>
      <c r="AD133" s="4">
        <v>21</v>
      </c>
      <c r="AE133" s="4">
        <v>15</v>
      </c>
      <c r="AF133" s="4">
        <v>5</v>
      </c>
      <c r="AG133" s="4">
        <v>43</v>
      </c>
      <c r="AH133" s="4">
        <v>150</v>
      </c>
      <c r="AI133" s="4">
        <f>ROUND(300*I133*(1+AE133/100+AF133/100),0)</f>
        <v>792000</v>
      </c>
      <c r="AJ133" s="4">
        <v>4.5999999999999996</v>
      </c>
      <c r="AK133" s="4">
        <v>178</v>
      </c>
      <c r="AL133" s="4" t="s">
        <v>111</v>
      </c>
      <c r="AM133" s="4" t="s">
        <v>59</v>
      </c>
    </row>
    <row r="134" spans="1:39" ht="228">
      <c r="A134" s="4" t="s">
        <v>1171</v>
      </c>
      <c r="B134" s="4" t="s">
        <v>1172</v>
      </c>
      <c r="C134" s="4" t="s">
        <v>94</v>
      </c>
      <c r="D134" s="4" t="s">
        <v>1173</v>
      </c>
      <c r="E134" s="4" t="s">
        <v>804</v>
      </c>
      <c r="F134" s="4" t="s">
        <v>65</v>
      </c>
      <c r="G134" s="4" t="s">
        <v>1174</v>
      </c>
      <c r="H134" s="4" t="s">
        <v>1175</v>
      </c>
      <c r="I134" s="4">
        <v>1900</v>
      </c>
      <c r="J134" s="4">
        <v>2450</v>
      </c>
      <c r="K134" s="4">
        <v>3950</v>
      </c>
      <c r="L134" s="4">
        <v>475</v>
      </c>
      <c r="M134" s="4" t="s">
        <v>48</v>
      </c>
      <c r="N134" s="4" t="s">
        <v>40</v>
      </c>
      <c r="O134" s="4" t="s">
        <v>50</v>
      </c>
      <c r="P134" s="4">
        <v>125</v>
      </c>
      <c r="Q134" s="4" t="s">
        <v>1176</v>
      </c>
      <c r="R134" s="4" t="s">
        <v>1177</v>
      </c>
      <c r="S134" s="4" t="s">
        <v>50</v>
      </c>
      <c r="T134" s="4" t="s">
        <v>50</v>
      </c>
      <c r="U134" s="4" t="s">
        <v>50</v>
      </c>
      <c r="V134" s="4" t="s">
        <v>608</v>
      </c>
      <c r="W134" s="4" t="s">
        <v>54</v>
      </c>
      <c r="X134" s="4" t="s">
        <v>55</v>
      </c>
      <c r="Y134" s="4" t="s">
        <v>69</v>
      </c>
      <c r="Z134" s="4" t="s">
        <v>70</v>
      </c>
      <c r="AA134" s="4">
        <v>12</v>
      </c>
      <c r="AB134" s="4">
        <f>ROUND(I134*(1-AA134/100),-1)</f>
        <v>1670</v>
      </c>
      <c r="AC134" s="4">
        <f t="shared" si="2"/>
        <v>1900</v>
      </c>
      <c r="AD134" s="4">
        <v>10</v>
      </c>
      <c r="AE134" s="4">
        <v>15</v>
      </c>
      <c r="AF134" s="4">
        <v>5</v>
      </c>
      <c r="AG134" s="4">
        <v>40</v>
      </c>
      <c r="AH134" s="4">
        <v>175</v>
      </c>
      <c r="AI134" s="4">
        <f>ROUND(300*I134*(1+AE134/100+AF134/100),0)</f>
        <v>684000</v>
      </c>
      <c r="AJ134" s="4">
        <v>4.7</v>
      </c>
      <c r="AK134" s="4">
        <v>58</v>
      </c>
      <c r="AL134" s="4" t="s">
        <v>111</v>
      </c>
      <c r="AM134" s="4" t="s">
        <v>59</v>
      </c>
    </row>
    <row r="135" spans="1:39" ht="228">
      <c r="A135" s="4" t="s">
        <v>1178</v>
      </c>
      <c r="B135" s="4" t="s">
        <v>1179</v>
      </c>
      <c r="C135" s="4" t="s">
        <v>700</v>
      </c>
      <c r="D135" s="4" t="s">
        <v>1180</v>
      </c>
      <c r="E135" s="4" t="s">
        <v>1181</v>
      </c>
      <c r="F135" s="4" t="s">
        <v>192</v>
      </c>
      <c r="G135" s="4" t="s">
        <v>1182</v>
      </c>
      <c r="H135" s="4" t="s">
        <v>1183</v>
      </c>
      <c r="I135" s="4">
        <v>1450</v>
      </c>
      <c r="J135" s="4">
        <v>2050</v>
      </c>
      <c r="K135" s="4">
        <v>3700</v>
      </c>
      <c r="L135" s="4">
        <v>625</v>
      </c>
      <c r="M135" s="4" t="s">
        <v>48</v>
      </c>
      <c r="N135" s="4" t="s">
        <v>40</v>
      </c>
      <c r="O135" s="4" t="s">
        <v>50</v>
      </c>
      <c r="P135" s="4">
        <v>130</v>
      </c>
      <c r="Q135" s="4" t="s">
        <v>1184</v>
      </c>
      <c r="R135" s="4" t="s">
        <v>1185</v>
      </c>
      <c r="S135" s="4" t="s">
        <v>50</v>
      </c>
      <c r="T135" s="4" t="s">
        <v>50</v>
      </c>
      <c r="U135" s="4" t="s">
        <v>50</v>
      </c>
      <c r="V135" s="4" t="s">
        <v>1186</v>
      </c>
      <c r="W135" s="4" t="s">
        <v>54</v>
      </c>
      <c r="X135" s="4" t="s">
        <v>55</v>
      </c>
      <c r="Y135" s="4" t="s">
        <v>69</v>
      </c>
      <c r="Z135" s="4" t="s">
        <v>706</v>
      </c>
      <c r="AA135" s="4">
        <v>11</v>
      </c>
      <c r="AB135" s="4">
        <f>ROUND(I135*(1-AA135/100),-1)</f>
        <v>1290</v>
      </c>
      <c r="AC135" s="4">
        <f t="shared" si="2"/>
        <v>1450</v>
      </c>
      <c r="AD135" s="4">
        <v>17</v>
      </c>
      <c r="AE135" s="4">
        <v>15</v>
      </c>
      <c r="AF135" s="4">
        <v>10</v>
      </c>
      <c r="AG135" s="4">
        <v>34</v>
      </c>
      <c r="AH135" s="4">
        <v>250</v>
      </c>
      <c r="AI135" s="4">
        <f>ROUND(300*I135*(1+AE135/100+AF135/100),0)</f>
        <v>543750</v>
      </c>
      <c r="AJ135" s="4">
        <v>4.0999999999999996</v>
      </c>
      <c r="AK135" s="4">
        <v>162</v>
      </c>
      <c r="AL135" s="4" t="s">
        <v>111</v>
      </c>
      <c r="AM135" s="4" t="s">
        <v>59</v>
      </c>
    </row>
    <row r="136" spans="1:39" ht="256.5">
      <c r="A136" s="4" t="s">
        <v>1187</v>
      </c>
      <c r="B136" s="4" t="s">
        <v>1188</v>
      </c>
      <c r="C136" s="4" t="s">
        <v>94</v>
      </c>
      <c r="D136" s="4" t="s">
        <v>1189</v>
      </c>
      <c r="E136" s="4" t="s">
        <v>1190</v>
      </c>
      <c r="F136" s="4" t="s">
        <v>255</v>
      </c>
      <c r="G136" s="4" t="s">
        <v>1191</v>
      </c>
      <c r="H136" s="4" t="s">
        <v>1192</v>
      </c>
      <c r="I136" s="4">
        <v>1650</v>
      </c>
      <c r="J136" s="4">
        <v>2100</v>
      </c>
      <c r="K136" s="4">
        <v>3250</v>
      </c>
      <c r="L136" s="4">
        <v>400</v>
      </c>
      <c r="M136" s="4" t="s">
        <v>40</v>
      </c>
      <c r="N136" s="4" t="s">
        <v>40</v>
      </c>
      <c r="O136" s="4" t="s">
        <v>50</v>
      </c>
      <c r="P136" s="4">
        <v>110</v>
      </c>
      <c r="Q136" s="4" t="s">
        <v>1193</v>
      </c>
      <c r="R136" s="4" t="s">
        <v>1194</v>
      </c>
      <c r="S136" s="4" t="s">
        <v>50</v>
      </c>
      <c r="T136" s="4" t="s">
        <v>50</v>
      </c>
      <c r="U136" s="4" t="s">
        <v>50</v>
      </c>
      <c r="V136" s="4" t="s">
        <v>851</v>
      </c>
      <c r="W136" s="4" t="s">
        <v>54</v>
      </c>
      <c r="X136" s="4" t="s">
        <v>55</v>
      </c>
      <c r="Y136" s="4" t="s">
        <v>81</v>
      </c>
      <c r="Z136" s="4" t="s">
        <v>70</v>
      </c>
      <c r="AA136" s="4">
        <v>12</v>
      </c>
      <c r="AB136" s="4">
        <f>ROUND(I136*(1-AA136/100),-1)</f>
        <v>1450</v>
      </c>
      <c r="AC136" s="4">
        <f t="shared" si="2"/>
        <v>1650</v>
      </c>
      <c r="AD136" s="4">
        <v>18</v>
      </c>
      <c r="AE136" s="4">
        <v>15</v>
      </c>
      <c r="AF136" s="4">
        <v>8</v>
      </c>
      <c r="AG136" s="4">
        <v>39</v>
      </c>
      <c r="AH136" s="4">
        <v>125</v>
      </c>
      <c r="AI136" s="4">
        <f>ROUND(300*I136*(1+AE136/100+AF136/100),0)</f>
        <v>608850</v>
      </c>
      <c r="AJ136" s="4">
        <v>4.2</v>
      </c>
      <c r="AK136" s="4">
        <v>195</v>
      </c>
      <c r="AL136" s="4" t="s">
        <v>111</v>
      </c>
      <c r="AM136" s="4" t="s">
        <v>59</v>
      </c>
    </row>
    <row r="137" spans="1:39" ht="228">
      <c r="A137" s="4" t="s">
        <v>1195</v>
      </c>
      <c r="B137" s="4" t="s">
        <v>1196</v>
      </c>
      <c r="C137" s="4" t="s">
        <v>94</v>
      </c>
      <c r="D137" s="4" t="s">
        <v>1197</v>
      </c>
      <c r="E137" s="4" t="s">
        <v>975</v>
      </c>
      <c r="F137" s="4" t="s">
        <v>163</v>
      </c>
      <c r="G137" s="4" t="s">
        <v>1198</v>
      </c>
      <c r="H137" s="4" t="s">
        <v>1199</v>
      </c>
      <c r="I137" s="4">
        <v>1900</v>
      </c>
      <c r="J137" s="4">
        <v>2750</v>
      </c>
      <c r="K137" s="4">
        <v>4200</v>
      </c>
      <c r="L137" s="4">
        <v>475</v>
      </c>
      <c r="M137" s="4" t="s">
        <v>48</v>
      </c>
      <c r="N137" s="4" t="s">
        <v>40</v>
      </c>
      <c r="O137" s="4" t="s">
        <v>50</v>
      </c>
      <c r="P137" s="4">
        <v>135</v>
      </c>
      <c r="Q137" s="4" t="s">
        <v>1200</v>
      </c>
      <c r="R137" s="4" t="s">
        <v>1201</v>
      </c>
      <c r="S137" s="4" t="s">
        <v>50</v>
      </c>
      <c r="T137" s="4" t="s">
        <v>50</v>
      </c>
      <c r="U137" s="4" t="s">
        <v>50</v>
      </c>
      <c r="V137" s="4" t="s">
        <v>178</v>
      </c>
      <c r="W137" s="4" t="s">
        <v>54</v>
      </c>
      <c r="X137" s="4" t="s">
        <v>55</v>
      </c>
      <c r="Y137" s="4" t="s">
        <v>169</v>
      </c>
      <c r="Z137" s="4" t="s">
        <v>70</v>
      </c>
      <c r="AA137" s="4">
        <v>10</v>
      </c>
      <c r="AB137" s="4">
        <f>ROUND(I137*(1-AA137/100),-1)</f>
        <v>1710</v>
      </c>
      <c r="AC137" s="4">
        <f t="shared" si="2"/>
        <v>1900</v>
      </c>
      <c r="AD137" s="4">
        <v>18</v>
      </c>
      <c r="AE137" s="4">
        <v>15</v>
      </c>
      <c r="AF137" s="4">
        <v>8</v>
      </c>
      <c r="AG137" s="4">
        <v>30</v>
      </c>
      <c r="AH137" s="4">
        <v>150</v>
      </c>
      <c r="AI137" s="4">
        <f>ROUND(300*I137*(1+AE137/100+AF137/100),0)</f>
        <v>701100</v>
      </c>
      <c r="AJ137" s="4">
        <v>4.4000000000000004</v>
      </c>
      <c r="AK137" s="4">
        <v>671</v>
      </c>
      <c r="AL137" s="4" t="s">
        <v>58</v>
      </c>
      <c r="AM137" s="4" t="s">
        <v>59</v>
      </c>
    </row>
    <row r="138" spans="1:39" ht="213.75">
      <c r="A138" s="4" t="s">
        <v>1202</v>
      </c>
      <c r="B138" s="4" t="s">
        <v>1203</v>
      </c>
      <c r="C138" s="4" t="s">
        <v>72</v>
      </c>
      <c r="D138" s="4" t="s">
        <v>1204</v>
      </c>
      <c r="E138" s="4" t="s">
        <v>1205</v>
      </c>
      <c r="F138" s="4" t="s">
        <v>153</v>
      </c>
      <c r="G138" s="4" t="s">
        <v>1206</v>
      </c>
      <c r="H138" s="4" t="s">
        <v>1207</v>
      </c>
      <c r="I138" s="4">
        <v>2750</v>
      </c>
      <c r="J138" s="4">
        <v>3550</v>
      </c>
      <c r="K138" s="4">
        <v>4600</v>
      </c>
      <c r="L138" s="4">
        <v>350</v>
      </c>
      <c r="M138" s="4" t="s">
        <v>48</v>
      </c>
      <c r="N138" s="4" t="s">
        <v>40</v>
      </c>
      <c r="O138" s="4" t="s">
        <v>50</v>
      </c>
      <c r="P138" s="4">
        <v>65</v>
      </c>
      <c r="Q138" s="4" t="s">
        <v>1208</v>
      </c>
      <c r="R138" s="4" t="s">
        <v>1209</v>
      </c>
      <c r="S138" s="4" t="s">
        <v>50</v>
      </c>
      <c r="T138" s="4" t="s">
        <v>50</v>
      </c>
      <c r="U138" s="4" t="s">
        <v>50</v>
      </c>
      <c r="V138" s="4" t="s">
        <v>215</v>
      </c>
      <c r="W138" s="4" t="s">
        <v>54</v>
      </c>
      <c r="X138" s="4" t="s">
        <v>55</v>
      </c>
      <c r="Y138" s="4" t="s">
        <v>69</v>
      </c>
      <c r="Z138" s="4" t="s">
        <v>57</v>
      </c>
      <c r="AA138" s="4">
        <v>12</v>
      </c>
      <c r="AB138" s="4">
        <f>ROUND(I138*(1-AA138/100),-1)</f>
        <v>2420</v>
      </c>
      <c r="AC138" s="4">
        <f t="shared" si="2"/>
        <v>2750</v>
      </c>
      <c r="AD138" s="4">
        <v>12</v>
      </c>
      <c r="AE138" s="4">
        <v>15</v>
      </c>
      <c r="AF138" s="4">
        <v>9</v>
      </c>
      <c r="AG138" s="4">
        <v>33</v>
      </c>
      <c r="AH138" s="4">
        <v>125</v>
      </c>
      <c r="AI138" s="4">
        <f>ROUND(300*I138*(1+AE138/100+AF138/100),0)</f>
        <v>1023000</v>
      </c>
      <c r="AJ138" s="4">
        <v>4.4000000000000004</v>
      </c>
      <c r="AK138" s="4">
        <v>760</v>
      </c>
      <c r="AL138" s="4" t="s">
        <v>111</v>
      </c>
      <c r="AM138" s="4" t="s">
        <v>59</v>
      </c>
    </row>
    <row r="139" spans="1:39" ht="213.75">
      <c r="A139" s="4" t="s">
        <v>1210</v>
      </c>
      <c r="B139" s="4" t="s">
        <v>1211</v>
      </c>
      <c r="C139" s="4" t="s">
        <v>72</v>
      </c>
      <c r="D139" s="4" t="s">
        <v>1212</v>
      </c>
      <c r="E139" s="4" t="s">
        <v>1213</v>
      </c>
      <c r="F139" s="4" t="s">
        <v>445</v>
      </c>
      <c r="G139" s="4" t="s">
        <v>1214</v>
      </c>
      <c r="H139" s="4" t="s">
        <v>1215</v>
      </c>
      <c r="I139" s="4">
        <v>2300</v>
      </c>
      <c r="J139" s="4">
        <v>2800</v>
      </c>
      <c r="K139" s="4">
        <v>4300</v>
      </c>
      <c r="L139" s="4">
        <v>325</v>
      </c>
      <c r="M139" s="4" t="s">
        <v>48</v>
      </c>
      <c r="N139" s="4" t="s">
        <v>40</v>
      </c>
      <c r="O139" s="4" t="s">
        <v>50</v>
      </c>
      <c r="P139" s="4">
        <v>65</v>
      </c>
      <c r="Q139" s="4" t="s">
        <v>1216</v>
      </c>
      <c r="R139" s="4" t="s">
        <v>1217</v>
      </c>
      <c r="S139" s="4" t="s">
        <v>50</v>
      </c>
      <c r="T139" s="4" t="s">
        <v>50</v>
      </c>
      <c r="U139" s="4" t="s">
        <v>50</v>
      </c>
      <c r="V139" s="4" t="s">
        <v>450</v>
      </c>
      <c r="W139" s="4" t="s">
        <v>54</v>
      </c>
      <c r="X139" s="4" t="s">
        <v>55</v>
      </c>
      <c r="Y139" s="4" t="s">
        <v>69</v>
      </c>
      <c r="Z139" s="4" t="s">
        <v>57</v>
      </c>
      <c r="AA139" s="4">
        <v>6</v>
      </c>
      <c r="AB139" s="4">
        <f>ROUND(I139*(1-AA139/100),-1)</f>
        <v>2160</v>
      </c>
      <c r="AC139" s="4">
        <f t="shared" si="2"/>
        <v>2300</v>
      </c>
      <c r="AD139" s="4">
        <v>17</v>
      </c>
      <c r="AE139" s="4">
        <v>15</v>
      </c>
      <c r="AF139" s="4">
        <v>7</v>
      </c>
      <c r="AG139" s="4">
        <v>37</v>
      </c>
      <c r="AH139" s="4">
        <v>100</v>
      </c>
      <c r="AI139" s="4">
        <f>ROUND(300*I139*(1+AE139/100+AF139/100),0)</f>
        <v>841800</v>
      </c>
      <c r="AJ139" s="4">
        <v>4.9000000000000004</v>
      </c>
      <c r="AK139" s="4">
        <v>85</v>
      </c>
      <c r="AL139" s="4" t="s">
        <v>111</v>
      </c>
      <c r="AM139" s="4" t="s">
        <v>59</v>
      </c>
    </row>
    <row r="140" spans="1:39" ht="256.5">
      <c r="A140" s="4" t="s">
        <v>1218</v>
      </c>
      <c r="B140" s="4" t="s">
        <v>1219</v>
      </c>
      <c r="C140" s="4" t="s">
        <v>72</v>
      </c>
      <c r="D140" s="4" t="s">
        <v>1220</v>
      </c>
      <c r="E140" s="4" t="s">
        <v>1221</v>
      </c>
      <c r="F140" s="4" t="s">
        <v>153</v>
      </c>
      <c r="G140" s="4" t="s">
        <v>1222</v>
      </c>
      <c r="H140" s="4" t="s">
        <v>1223</v>
      </c>
      <c r="I140" s="4">
        <v>2900</v>
      </c>
      <c r="J140" s="4">
        <v>3750</v>
      </c>
      <c r="K140" s="4">
        <v>5650</v>
      </c>
      <c r="L140" s="4">
        <v>1050</v>
      </c>
      <c r="M140" s="4" t="s">
        <v>40</v>
      </c>
      <c r="N140" s="4" t="s">
        <v>49</v>
      </c>
      <c r="O140" s="4" t="s">
        <v>50</v>
      </c>
      <c r="P140" s="4">
        <v>270</v>
      </c>
      <c r="Q140" s="4" t="s">
        <v>1224</v>
      </c>
      <c r="R140" s="4" t="s">
        <v>1225</v>
      </c>
      <c r="S140" s="4" t="s">
        <v>50</v>
      </c>
      <c r="T140" s="4" t="s">
        <v>50</v>
      </c>
      <c r="U140" s="4" t="s">
        <v>50</v>
      </c>
      <c r="V140" s="4" t="s">
        <v>1226</v>
      </c>
      <c r="W140" s="4" t="s">
        <v>54</v>
      </c>
      <c r="X140" s="4" t="s">
        <v>55</v>
      </c>
      <c r="Y140" s="4" t="s">
        <v>81</v>
      </c>
      <c r="Z140" s="4" t="s">
        <v>57</v>
      </c>
      <c r="AA140" s="4">
        <v>8</v>
      </c>
      <c r="AB140" s="4">
        <f>ROUND(I140*(1-AA140/100),-1)</f>
        <v>2670</v>
      </c>
      <c r="AC140" s="4">
        <f t="shared" si="2"/>
        <v>2900</v>
      </c>
      <c r="AD140" s="4">
        <v>10</v>
      </c>
      <c r="AE140" s="4">
        <v>15</v>
      </c>
      <c r="AF140" s="4">
        <v>10</v>
      </c>
      <c r="AG140" s="4">
        <v>41</v>
      </c>
      <c r="AH140" s="4">
        <v>325</v>
      </c>
      <c r="AI140" s="4">
        <f>ROUND(300*I140*(1+AE140/100+AF140/100),0)</f>
        <v>1087500</v>
      </c>
      <c r="AJ140" s="4">
        <v>4.5999999999999996</v>
      </c>
      <c r="AK140" s="4">
        <v>639</v>
      </c>
      <c r="AL140" s="4" t="s">
        <v>111</v>
      </c>
      <c r="AM140" s="4" t="s">
        <v>59</v>
      </c>
    </row>
    <row r="141" spans="1:39" ht="228">
      <c r="A141" s="4" t="s">
        <v>1227</v>
      </c>
      <c r="B141" s="4" t="s">
        <v>1228</v>
      </c>
      <c r="C141" s="4" t="s">
        <v>72</v>
      </c>
      <c r="D141" s="4" t="s">
        <v>1229</v>
      </c>
      <c r="E141" s="4" t="s">
        <v>1230</v>
      </c>
      <c r="F141" s="4" t="s">
        <v>75</v>
      </c>
      <c r="G141" s="4" t="s">
        <v>1231</v>
      </c>
      <c r="H141" s="4" t="s">
        <v>1232</v>
      </c>
      <c r="I141" s="4">
        <v>2250</v>
      </c>
      <c r="J141" s="4">
        <v>2700</v>
      </c>
      <c r="K141" s="4">
        <v>4500</v>
      </c>
      <c r="L141" s="4">
        <v>650</v>
      </c>
      <c r="M141" s="4" t="s">
        <v>48</v>
      </c>
      <c r="N141" s="4" t="s">
        <v>40</v>
      </c>
      <c r="O141" s="4" t="s">
        <v>50</v>
      </c>
      <c r="P141" s="4">
        <v>125</v>
      </c>
      <c r="Q141" s="4" t="s">
        <v>573</v>
      </c>
      <c r="R141" s="4" t="s">
        <v>1233</v>
      </c>
      <c r="S141" s="4" t="s">
        <v>50</v>
      </c>
      <c r="T141" s="4" t="s">
        <v>50</v>
      </c>
      <c r="U141" s="4" t="s">
        <v>50</v>
      </c>
      <c r="V141" s="4" t="s">
        <v>206</v>
      </c>
      <c r="W141" s="4" t="s">
        <v>54</v>
      </c>
      <c r="X141" s="4" t="s">
        <v>55</v>
      </c>
      <c r="Y141" s="4" t="s">
        <v>69</v>
      </c>
      <c r="Z141" s="4" t="s">
        <v>57</v>
      </c>
      <c r="AA141" s="4">
        <v>9</v>
      </c>
      <c r="AB141" s="4">
        <f>ROUND(I141*(1-AA141/100),-1)</f>
        <v>2050</v>
      </c>
      <c r="AC141" s="4">
        <f t="shared" si="2"/>
        <v>2250</v>
      </c>
      <c r="AD141" s="4">
        <v>21</v>
      </c>
      <c r="AE141" s="4">
        <v>15</v>
      </c>
      <c r="AF141" s="4">
        <v>8</v>
      </c>
      <c r="AG141" s="4">
        <v>30</v>
      </c>
      <c r="AH141" s="4">
        <v>250</v>
      </c>
      <c r="AI141" s="4">
        <f>ROUND(300*I141*(1+AE141/100+AF141/100),0)</f>
        <v>830250</v>
      </c>
      <c r="AJ141" s="4">
        <v>4.2</v>
      </c>
      <c r="AK141" s="4">
        <v>209</v>
      </c>
      <c r="AL141" s="4" t="s">
        <v>111</v>
      </c>
      <c r="AM141" s="4" t="s">
        <v>59</v>
      </c>
    </row>
    <row r="142" spans="1:39" ht="256.5">
      <c r="A142" s="4" t="s">
        <v>1234</v>
      </c>
      <c r="B142" s="4" t="s">
        <v>1235</v>
      </c>
      <c r="C142" s="4" t="s">
        <v>72</v>
      </c>
      <c r="D142" s="4" t="s">
        <v>1236</v>
      </c>
      <c r="E142" s="4" t="s">
        <v>1237</v>
      </c>
      <c r="F142" s="4" t="s">
        <v>163</v>
      </c>
      <c r="G142" s="4" t="s">
        <v>1238</v>
      </c>
      <c r="H142" s="4" t="s">
        <v>1239</v>
      </c>
      <c r="I142" s="4">
        <v>2450</v>
      </c>
      <c r="J142" s="4">
        <v>3250</v>
      </c>
      <c r="K142" s="4">
        <v>4500</v>
      </c>
      <c r="L142" s="4">
        <v>625</v>
      </c>
      <c r="M142" s="4" t="s">
        <v>40</v>
      </c>
      <c r="N142" s="4" t="s">
        <v>40</v>
      </c>
      <c r="O142" s="4" t="s">
        <v>50</v>
      </c>
      <c r="P142" s="4">
        <v>145</v>
      </c>
      <c r="Q142" s="4" t="s">
        <v>1240</v>
      </c>
      <c r="R142" s="4" t="s">
        <v>1241</v>
      </c>
      <c r="S142" s="4" t="s">
        <v>50</v>
      </c>
      <c r="T142" s="4" t="s">
        <v>50</v>
      </c>
      <c r="U142" s="4" t="s">
        <v>50</v>
      </c>
      <c r="V142" s="4" t="s">
        <v>168</v>
      </c>
      <c r="W142" s="4" t="s">
        <v>54</v>
      </c>
      <c r="X142" s="4" t="s">
        <v>55</v>
      </c>
      <c r="Y142" s="4" t="s">
        <v>169</v>
      </c>
      <c r="Z142" s="4" t="s">
        <v>57</v>
      </c>
      <c r="AA142" s="4">
        <v>8</v>
      </c>
      <c r="AB142" s="4">
        <f>ROUND(I142*(1-AA142/100),-1)</f>
        <v>2250</v>
      </c>
      <c r="AC142" s="4">
        <f t="shared" si="2"/>
        <v>2450</v>
      </c>
      <c r="AD142" s="4">
        <v>19</v>
      </c>
      <c r="AE142" s="4">
        <v>15</v>
      </c>
      <c r="AF142" s="4">
        <v>7</v>
      </c>
      <c r="AG142" s="4">
        <v>38</v>
      </c>
      <c r="AH142" s="4">
        <v>250</v>
      </c>
      <c r="AI142" s="4">
        <f>ROUND(300*I142*(1+AE142/100+AF142/100),0)</f>
        <v>896700</v>
      </c>
      <c r="AJ142" s="4">
        <v>4.5</v>
      </c>
      <c r="AK142" s="4">
        <v>543</v>
      </c>
      <c r="AL142" s="4" t="s">
        <v>111</v>
      </c>
      <c r="AM142" s="4" t="s">
        <v>59</v>
      </c>
    </row>
    <row r="143" spans="1:39" ht="228">
      <c r="A143" s="4" t="s">
        <v>1242</v>
      </c>
      <c r="B143" s="4" t="s">
        <v>1243</v>
      </c>
      <c r="C143" s="4" t="s">
        <v>94</v>
      </c>
      <c r="D143" s="4" t="s">
        <v>1244</v>
      </c>
      <c r="E143" s="4" t="s">
        <v>1245</v>
      </c>
      <c r="F143" s="4" t="s">
        <v>445</v>
      </c>
      <c r="G143" s="4" t="s">
        <v>1246</v>
      </c>
      <c r="H143" s="4" t="s">
        <v>1247</v>
      </c>
      <c r="I143" s="4">
        <v>2150</v>
      </c>
      <c r="J143" s="4">
        <v>2850</v>
      </c>
      <c r="K143" s="4">
        <v>3850</v>
      </c>
      <c r="L143" s="4">
        <v>650</v>
      </c>
      <c r="M143" s="4" t="s">
        <v>48</v>
      </c>
      <c r="N143" s="4" t="s">
        <v>40</v>
      </c>
      <c r="O143" s="4" t="s">
        <v>50</v>
      </c>
      <c r="P143" s="4">
        <v>145</v>
      </c>
      <c r="Q143" s="4" t="s">
        <v>1248</v>
      </c>
      <c r="R143" s="4" t="s">
        <v>1249</v>
      </c>
      <c r="S143" s="4" t="s">
        <v>50</v>
      </c>
      <c r="T143" s="4" t="s">
        <v>50</v>
      </c>
      <c r="U143" s="4" t="s">
        <v>50</v>
      </c>
      <c r="V143" s="4" t="s">
        <v>800</v>
      </c>
      <c r="W143" s="4" t="s">
        <v>54</v>
      </c>
      <c r="X143" s="4" t="s">
        <v>55</v>
      </c>
      <c r="Y143" s="4" t="s">
        <v>69</v>
      </c>
      <c r="Z143" s="4" t="s">
        <v>70</v>
      </c>
      <c r="AA143" s="4">
        <v>8</v>
      </c>
      <c r="AB143" s="4">
        <f>ROUND(I143*(1-AA143/100),-1)</f>
        <v>1980</v>
      </c>
      <c r="AC143" s="4">
        <f t="shared" si="2"/>
        <v>2150</v>
      </c>
      <c r="AD143" s="4">
        <v>21</v>
      </c>
      <c r="AE143" s="4">
        <v>15</v>
      </c>
      <c r="AF143" s="4">
        <v>9</v>
      </c>
      <c r="AG143" s="4">
        <v>31</v>
      </c>
      <c r="AH143" s="4">
        <v>200</v>
      </c>
      <c r="AI143" s="4">
        <f>ROUND(300*I143*(1+AE143/100+AF143/100),0)</f>
        <v>799800</v>
      </c>
      <c r="AJ143" s="4">
        <v>4.5999999999999996</v>
      </c>
      <c r="AK143" s="4">
        <v>463</v>
      </c>
      <c r="AL143" s="4" t="s">
        <v>111</v>
      </c>
      <c r="AM143" s="4" t="s">
        <v>59</v>
      </c>
    </row>
    <row r="144" spans="1:39" ht="228">
      <c r="A144" s="4" t="s">
        <v>1250</v>
      </c>
      <c r="B144" s="4" t="s">
        <v>1251</v>
      </c>
      <c r="C144" s="4" t="s">
        <v>94</v>
      </c>
      <c r="D144" s="4" t="s">
        <v>1252</v>
      </c>
      <c r="E144" s="4" t="s">
        <v>1253</v>
      </c>
      <c r="F144" s="4" t="s">
        <v>163</v>
      </c>
      <c r="G144" s="4" t="s">
        <v>1254</v>
      </c>
      <c r="H144" s="4" t="s">
        <v>1255</v>
      </c>
      <c r="I144" s="4">
        <v>1950</v>
      </c>
      <c r="J144" s="4">
        <v>2600</v>
      </c>
      <c r="K144" s="4">
        <v>3550</v>
      </c>
      <c r="L144" s="4">
        <v>500</v>
      </c>
      <c r="M144" s="4" t="s">
        <v>48</v>
      </c>
      <c r="N144" s="4" t="s">
        <v>40</v>
      </c>
      <c r="O144" s="4" t="s">
        <v>50</v>
      </c>
      <c r="P144" s="4">
        <v>110</v>
      </c>
      <c r="Q144" s="4" t="s">
        <v>1256</v>
      </c>
      <c r="R144" s="4" t="s">
        <v>1257</v>
      </c>
      <c r="S144" s="4" t="s">
        <v>50</v>
      </c>
      <c r="T144" s="4" t="s">
        <v>50</v>
      </c>
      <c r="U144" s="4" t="s">
        <v>50</v>
      </c>
      <c r="V144" s="4" t="s">
        <v>178</v>
      </c>
      <c r="W144" s="4" t="s">
        <v>54</v>
      </c>
      <c r="X144" s="4" t="s">
        <v>55</v>
      </c>
      <c r="Y144" s="4" t="s">
        <v>169</v>
      </c>
      <c r="Z144" s="4" t="s">
        <v>70</v>
      </c>
      <c r="AA144" s="4">
        <v>10</v>
      </c>
      <c r="AB144" s="4">
        <f>ROUND(I144*(1-AA144/100),-1)</f>
        <v>1760</v>
      </c>
      <c r="AC144" s="4">
        <f t="shared" si="2"/>
        <v>1950</v>
      </c>
      <c r="AD144" s="4">
        <v>22</v>
      </c>
      <c r="AE144" s="4">
        <v>15</v>
      </c>
      <c r="AF144" s="4">
        <v>10</v>
      </c>
      <c r="AG144" s="4">
        <v>43</v>
      </c>
      <c r="AH144" s="4">
        <v>150</v>
      </c>
      <c r="AI144" s="4">
        <f>ROUND(300*I144*(1+AE144/100+AF144/100),0)</f>
        <v>731250</v>
      </c>
      <c r="AJ144" s="4">
        <v>3.8</v>
      </c>
      <c r="AK144" s="4">
        <v>192</v>
      </c>
      <c r="AL144" s="4" t="s">
        <v>111</v>
      </c>
      <c r="AM144" s="4" t="s">
        <v>59</v>
      </c>
    </row>
    <row r="145" spans="1:39" ht="228">
      <c r="A145" s="4" t="s">
        <v>1258</v>
      </c>
      <c r="B145" s="4" t="s">
        <v>1259</v>
      </c>
      <c r="C145" s="4" t="s">
        <v>94</v>
      </c>
      <c r="D145" s="4" t="s">
        <v>1260</v>
      </c>
      <c r="E145" s="4" t="s">
        <v>1261</v>
      </c>
      <c r="F145" s="4" t="s">
        <v>192</v>
      </c>
      <c r="G145" s="4" t="s">
        <v>1262</v>
      </c>
      <c r="H145" s="4" t="s">
        <v>1263</v>
      </c>
      <c r="I145" s="4">
        <v>1850</v>
      </c>
      <c r="J145" s="4">
        <v>2700</v>
      </c>
      <c r="K145" s="4">
        <v>4800</v>
      </c>
      <c r="L145" s="4">
        <v>550</v>
      </c>
      <c r="M145" s="4" t="s">
        <v>48</v>
      </c>
      <c r="N145" s="4" t="s">
        <v>40</v>
      </c>
      <c r="O145" s="4" t="s">
        <v>50</v>
      </c>
      <c r="P145" s="4">
        <v>145</v>
      </c>
      <c r="Q145" s="4" t="s">
        <v>1264</v>
      </c>
      <c r="R145" s="4" t="s">
        <v>1265</v>
      </c>
      <c r="S145" s="4" t="s">
        <v>50</v>
      </c>
      <c r="T145" s="4" t="s">
        <v>50</v>
      </c>
      <c r="U145" s="4" t="s">
        <v>50</v>
      </c>
      <c r="V145" s="4" t="s">
        <v>197</v>
      </c>
      <c r="W145" s="4" t="s">
        <v>54</v>
      </c>
      <c r="X145" s="4" t="s">
        <v>55</v>
      </c>
      <c r="Y145" s="4" t="s">
        <v>69</v>
      </c>
      <c r="Z145" s="4" t="s">
        <v>70</v>
      </c>
      <c r="AA145" s="4">
        <v>12</v>
      </c>
      <c r="AB145" s="4">
        <f>ROUND(I145*(1-AA145/100),-1)</f>
        <v>1630</v>
      </c>
      <c r="AC145" s="4">
        <f t="shared" si="2"/>
        <v>1850</v>
      </c>
      <c r="AD145" s="4">
        <v>21</v>
      </c>
      <c r="AE145" s="4">
        <v>15</v>
      </c>
      <c r="AF145" s="4">
        <v>10</v>
      </c>
      <c r="AG145" s="4">
        <v>42</v>
      </c>
      <c r="AH145" s="4">
        <v>225</v>
      </c>
      <c r="AI145" s="4">
        <f>ROUND(300*I145*(1+AE145/100+AF145/100),0)</f>
        <v>693750</v>
      </c>
      <c r="AJ145" s="4">
        <v>4.0999999999999996</v>
      </c>
      <c r="AK145" s="4">
        <v>609</v>
      </c>
      <c r="AL145" s="4" t="s">
        <v>111</v>
      </c>
      <c r="AM145" s="4" t="s">
        <v>59</v>
      </c>
    </row>
    <row r="146" spans="1:39" ht="228">
      <c r="A146" s="4" t="s">
        <v>1266</v>
      </c>
      <c r="B146" s="4" t="s">
        <v>1267</v>
      </c>
      <c r="C146" s="4" t="s">
        <v>94</v>
      </c>
      <c r="D146" s="4" t="s">
        <v>1268</v>
      </c>
      <c r="E146" s="4" t="s">
        <v>1269</v>
      </c>
      <c r="F146" s="4" t="s">
        <v>86</v>
      </c>
      <c r="G146" s="4" t="s">
        <v>1270</v>
      </c>
      <c r="H146" s="4" t="s">
        <v>1271</v>
      </c>
      <c r="I146" s="4">
        <v>2000</v>
      </c>
      <c r="J146" s="4">
        <v>2850</v>
      </c>
      <c r="K146" s="4">
        <v>4550</v>
      </c>
      <c r="L146" s="4">
        <v>450</v>
      </c>
      <c r="M146" s="4" t="s">
        <v>48</v>
      </c>
      <c r="N146" s="4" t="s">
        <v>40</v>
      </c>
      <c r="O146" s="4" t="s">
        <v>50</v>
      </c>
      <c r="P146" s="4">
        <v>105</v>
      </c>
      <c r="Q146" s="4" t="s">
        <v>1272</v>
      </c>
      <c r="R146" s="4" t="s">
        <v>1273</v>
      </c>
      <c r="S146" s="4" t="s">
        <v>50</v>
      </c>
      <c r="T146" s="4" t="s">
        <v>50</v>
      </c>
      <c r="U146" s="4" t="s">
        <v>50</v>
      </c>
      <c r="V146" s="4" t="s">
        <v>1028</v>
      </c>
      <c r="W146" s="4" t="s">
        <v>54</v>
      </c>
      <c r="X146" s="4" t="s">
        <v>55</v>
      </c>
      <c r="Y146" s="4" t="s">
        <v>69</v>
      </c>
      <c r="Z146" s="4" t="s">
        <v>70</v>
      </c>
      <c r="AA146" s="4">
        <v>8</v>
      </c>
      <c r="AB146" s="4">
        <f>ROUND(I146*(1-AA146/100),-1)</f>
        <v>1840</v>
      </c>
      <c r="AC146" s="4">
        <f t="shared" si="2"/>
        <v>2000</v>
      </c>
      <c r="AD146" s="4">
        <v>14</v>
      </c>
      <c r="AE146" s="4">
        <v>15</v>
      </c>
      <c r="AF146" s="4">
        <v>9</v>
      </c>
      <c r="AG146" s="4">
        <v>45</v>
      </c>
      <c r="AH146" s="4">
        <v>150</v>
      </c>
      <c r="AI146" s="4">
        <f>ROUND(300*I146*(1+AE146/100+AF146/100),0)</f>
        <v>744000</v>
      </c>
      <c r="AJ146" s="4">
        <v>4.5</v>
      </c>
      <c r="AK146" s="4">
        <v>275</v>
      </c>
      <c r="AL146" s="4" t="s">
        <v>111</v>
      </c>
      <c r="AM146" s="4" t="s">
        <v>59</v>
      </c>
    </row>
    <row r="147" spans="1:39" ht="228">
      <c r="A147" s="4" t="s">
        <v>1274</v>
      </c>
      <c r="B147" s="4" t="s">
        <v>1275</v>
      </c>
      <c r="C147" s="4" t="s">
        <v>94</v>
      </c>
      <c r="D147" s="4" t="s">
        <v>1276</v>
      </c>
      <c r="E147" s="4" t="s">
        <v>1087</v>
      </c>
      <c r="F147" s="4" t="s">
        <v>65</v>
      </c>
      <c r="G147" s="4" t="s">
        <v>1277</v>
      </c>
      <c r="H147" s="4" t="s">
        <v>1278</v>
      </c>
      <c r="I147" s="4">
        <v>2000</v>
      </c>
      <c r="J147" s="4">
        <v>2450</v>
      </c>
      <c r="K147" s="4">
        <v>4400</v>
      </c>
      <c r="L147" s="4">
        <v>650</v>
      </c>
      <c r="M147" s="4" t="s">
        <v>48</v>
      </c>
      <c r="N147" s="4" t="s">
        <v>40</v>
      </c>
      <c r="O147" s="4" t="s">
        <v>50</v>
      </c>
      <c r="P147" s="4">
        <v>180</v>
      </c>
      <c r="Q147" s="4" t="s">
        <v>1279</v>
      </c>
      <c r="R147" s="4" t="s">
        <v>1280</v>
      </c>
      <c r="S147" s="4" t="s">
        <v>50</v>
      </c>
      <c r="T147" s="4" t="s">
        <v>50</v>
      </c>
      <c r="U147" s="4" t="s">
        <v>50</v>
      </c>
      <c r="V147" s="4" t="s">
        <v>608</v>
      </c>
      <c r="W147" s="4" t="s">
        <v>54</v>
      </c>
      <c r="X147" s="4" t="s">
        <v>55</v>
      </c>
      <c r="Y147" s="4" t="s">
        <v>69</v>
      </c>
      <c r="Z147" s="4" t="s">
        <v>70</v>
      </c>
      <c r="AA147" s="4">
        <v>12</v>
      </c>
      <c r="AB147" s="4">
        <f>ROUND(I147*(1-AA147/100),-1)</f>
        <v>1760</v>
      </c>
      <c r="AC147" s="4">
        <f t="shared" si="2"/>
        <v>2000</v>
      </c>
      <c r="AD147" s="4">
        <v>19</v>
      </c>
      <c r="AE147" s="4">
        <v>15</v>
      </c>
      <c r="AF147" s="4">
        <v>6</v>
      </c>
      <c r="AG147" s="4">
        <v>36</v>
      </c>
      <c r="AH147" s="4">
        <v>225</v>
      </c>
      <c r="AI147" s="4">
        <f>ROUND(300*I147*(1+AE147/100+AF147/100),0)</f>
        <v>726000</v>
      </c>
      <c r="AJ147" s="4">
        <v>4.5</v>
      </c>
      <c r="AK147" s="4">
        <v>341</v>
      </c>
      <c r="AL147" s="4" t="s">
        <v>111</v>
      </c>
      <c r="AM147" s="4" t="s">
        <v>59</v>
      </c>
    </row>
    <row r="148" spans="1:39" ht="213.75">
      <c r="A148" s="4" t="s">
        <v>1281</v>
      </c>
      <c r="B148" s="4" t="s">
        <v>1282</v>
      </c>
      <c r="C148" s="4" t="s">
        <v>72</v>
      </c>
      <c r="D148" s="4" t="s">
        <v>1283</v>
      </c>
      <c r="E148" s="4" t="s">
        <v>1284</v>
      </c>
      <c r="F148" s="4" t="s">
        <v>282</v>
      </c>
      <c r="G148" s="4" t="s">
        <v>1285</v>
      </c>
      <c r="H148" s="4" t="s">
        <v>1286</v>
      </c>
      <c r="I148" s="4">
        <v>2450</v>
      </c>
      <c r="J148" s="4">
        <v>3400</v>
      </c>
      <c r="K148" s="4">
        <v>4450</v>
      </c>
      <c r="L148" s="4">
        <v>350</v>
      </c>
      <c r="M148" s="4" t="s">
        <v>48</v>
      </c>
      <c r="N148" s="4" t="s">
        <v>40</v>
      </c>
      <c r="O148" s="4" t="s">
        <v>50</v>
      </c>
      <c r="P148" s="4">
        <v>85</v>
      </c>
      <c r="Q148" s="4" t="s">
        <v>137</v>
      </c>
      <c r="R148" s="4" t="s">
        <v>1287</v>
      </c>
      <c r="S148" s="4" t="s">
        <v>50</v>
      </c>
      <c r="T148" s="4" t="s">
        <v>50</v>
      </c>
      <c r="U148" s="4" t="s">
        <v>50</v>
      </c>
      <c r="V148" s="4" t="s">
        <v>1288</v>
      </c>
      <c r="W148" s="4" t="s">
        <v>54</v>
      </c>
      <c r="X148" s="4" t="s">
        <v>55</v>
      </c>
      <c r="Y148" s="4" t="s">
        <v>69</v>
      </c>
      <c r="Z148" s="4" t="s">
        <v>57</v>
      </c>
      <c r="AA148" s="4">
        <v>7</v>
      </c>
      <c r="AB148" s="4">
        <f>ROUND(I148*(1-AA148/100),-1)</f>
        <v>2280</v>
      </c>
      <c r="AC148" s="4">
        <f t="shared" si="2"/>
        <v>2450</v>
      </c>
      <c r="AD148" s="4">
        <v>18</v>
      </c>
      <c r="AE148" s="4">
        <v>15</v>
      </c>
      <c r="AF148" s="4">
        <v>7</v>
      </c>
      <c r="AG148" s="4">
        <v>40</v>
      </c>
      <c r="AH148" s="4">
        <v>100</v>
      </c>
      <c r="AI148" s="4">
        <f>ROUND(300*I148*(1+AE148/100+AF148/100),0)</f>
        <v>896700</v>
      </c>
      <c r="AJ148" s="4">
        <v>4.4000000000000004</v>
      </c>
      <c r="AK148" s="4">
        <v>208</v>
      </c>
      <c r="AL148" s="4" t="s">
        <v>111</v>
      </c>
      <c r="AM148" s="4" t="s">
        <v>59</v>
      </c>
    </row>
    <row r="149" spans="1:39" ht="228">
      <c r="A149" s="4" t="s">
        <v>1289</v>
      </c>
      <c r="B149" s="4" t="s">
        <v>1290</v>
      </c>
      <c r="C149" s="4" t="s">
        <v>94</v>
      </c>
      <c r="D149" s="4" t="s">
        <v>1291</v>
      </c>
      <c r="E149" s="4" t="s">
        <v>1292</v>
      </c>
      <c r="F149" s="4" t="s">
        <v>86</v>
      </c>
      <c r="G149" s="4" t="s">
        <v>1293</v>
      </c>
      <c r="H149" s="4" t="s">
        <v>1294</v>
      </c>
      <c r="I149" s="4">
        <v>2000</v>
      </c>
      <c r="J149" s="4">
        <v>2500</v>
      </c>
      <c r="K149" s="4">
        <v>4550</v>
      </c>
      <c r="L149" s="4">
        <v>500</v>
      </c>
      <c r="M149" s="4" t="s">
        <v>48</v>
      </c>
      <c r="N149" s="4" t="s">
        <v>40</v>
      </c>
      <c r="O149" s="4" t="s">
        <v>50</v>
      </c>
      <c r="P149" s="4">
        <v>105</v>
      </c>
      <c r="Q149" s="4" t="s">
        <v>1272</v>
      </c>
      <c r="R149" s="4" t="s">
        <v>1295</v>
      </c>
      <c r="S149" s="4" t="s">
        <v>50</v>
      </c>
      <c r="T149" s="4" t="s">
        <v>50</v>
      </c>
      <c r="U149" s="4" t="s">
        <v>50</v>
      </c>
      <c r="V149" s="4" t="s">
        <v>1028</v>
      </c>
      <c r="W149" s="4" t="s">
        <v>54</v>
      </c>
      <c r="X149" s="4" t="s">
        <v>55</v>
      </c>
      <c r="Y149" s="4" t="s">
        <v>69</v>
      </c>
      <c r="Z149" s="4" t="s">
        <v>70</v>
      </c>
      <c r="AA149" s="4">
        <v>11</v>
      </c>
      <c r="AB149" s="4">
        <f>ROUND(I149*(1-AA149/100),-1)</f>
        <v>1780</v>
      </c>
      <c r="AC149" s="4">
        <f t="shared" si="2"/>
        <v>2000</v>
      </c>
      <c r="AD149" s="4">
        <v>20</v>
      </c>
      <c r="AE149" s="4">
        <v>15</v>
      </c>
      <c r="AF149" s="4">
        <v>5</v>
      </c>
      <c r="AG149" s="4">
        <v>35</v>
      </c>
      <c r="AH149" s="4">
        <v>175</v>
      </c>
      <c r="AI149" s="4">
        <f>ROUND(300*I149*(1+AE149/100+AF149/100),0)</f>
        <v>720000</v>
      </c>
      <c r="AJ149" s="4">
        <v>4</v>
      </c>
      <c r="AK149" s="4">
        <v>202</v>
      </c>
      <c r="AL149" s="4" t="s">
        <v>111</v>
      </c>
      <c r="AM149" s="4" t="s">
        <v>59</v>
      </c>
    </row>
    <row r="150" spans="1:39" ht="256.5">
      <c r="A150" s="4" t="s">
        <v>1296</v>
      </c>
      <c r="B150" s="4" t="s">
        <v>1297</v>
      </c>
      <c r="C150" s="4" t="s">
        <v>72</v>
      </c>
      <c r="D150" s="4" t="s">
        <v>1298</v>
      </c>
      <c r="E150" s="4" t="s">
        <v>1299</v>
      </c>
      <c r="F150" s="4" t="s">
        <v>75</v>
      </c>
      <c r="G150" s="4" t="s">
        <v>1300</v>
      </c>
      <c r="H150" s="4" t="s">
        <v>1301</v>
      </c>
      <c r="I150" s="4">
        <v>2550</v>
      </c>
      <c r="J150" s="4">
        <v>3250</v>
      </c>
      <c r="K150" s="4">
        <v>4600</v>
      </c>
      <c r="L150" s="4">
        <v>625</v>
      </c>
      <c r="M150" s="4" t="s">
        <v>40</v>
      </c>
      <c r="N150" s="4" t="s">
        <v>40</v>
      </c>
      <c r="O150" s="4" t="s">
        <v>50</v>
      </c>
      <c r="P150" s="4">
        <v>155</v>
      </c>
      <c r="Q150" s="4" t="s">
        <v>1302</v>
      </c>
      <c r="R150" s="4" t="s">
        <v>1303</v>
      </c>
      <c r="S150" s="4" t="s">
        <v>50</v>
      </c>
      <c r="T150" s="4" t="s">
        <v>50</v>
      </c>
      <c r="U150" s="4" t="s">
        <v>50</v>
      </c>
      <c r="V150" s="4" t="s">
        <v>364</v>
      </c>
      <c r="W150" s="4" t="s">
        <v>54</v>
      </c>
      <c r="X150" s="4" t="s">
        <v>55</v>
      </c>
      <c r="Y150" s="4" t="s">
        <v>81</v>
      </c>
      <c r="Z150" s="4" t="s">
        <v>57</v>
      </c>
      <c r="AA150" s="4">
        <v>10</v>
      </c>
      <c r="AB150" s="4">
        <f>ROUND(I150*(1-AA150/100),-1)</f>
        <v>2300</v>
      </c>
      <c r="AC150" s="4">
        <f t="shared" si="2"/>
        <v>2550</v>
      </c>
      <c r="AD150" s="4">
        <v>17</v>
      </c>
      <c r="AE150" s="4">
        <v>15</v>
      </c>
      <c r="AF150" s="4">
        <v>5</v>
      </c>
      <c r="AG150" s="4">
        <v>39</v>
      </c>
      <c r="AH150" s="4">
        <v>175</v>
      </c>
      <c r="AI150" s="4">
        <f>ROUND(300*I150*(1+AE150/100+AF150/100),0)</f>
        <v>918000</v>
      </c>
      <c r="AJ150" s="4">
        <v>4</v>
      </c>
      <c r="AK150" s="4">
        <v>485</v>
      </c>
      <c r="AL150" s="4" t="s">
        <v>111</v>
      </c>
      <c r="AM150" s="4" t="s">
        <v>59</v>
      </c>
    </row>
    <row r="151" spans="1:39" ht="256.5">
      <c r="A151" s="4" t="s">
        <v>1304</v>
      </c>
      <c r="B151" s="4" t="s">
        <v>1305</v>
      </c>
      <c r="C151" s="4" t="s">
        <v>94</v>
      </c>
      <c r="D151" s="4" t="s">
        <v>1306</v>
      </c>
      <c r="E151" s="4" t="s">
        <v>1307</v>
      </c>
      <c r="F151" s="4" t="s">
        <v>153</v>
      </c>
      <c r="G151" s="4" t="s">
        <v>1308</v>
      </c>
      <c r="H151" s="4" t="s">
        <v>1309</v>
      </c>
      <c r="I151" s="4">
        <v>2150</v>
      </c>
      <c r="J151" s="4">
        <v>3050</v>
      </c>
      <c r="K151" s="4">
        <v>5100</v>
      </c>
      <c r="L151" s="4">
        <v>700</v>
      </c>
      <c r="M151" s="4" t="s">
        <v>40</v>
      </c>
      <c r="N151" s="4" t="s">
        <v>40</v>
      </c>
      <c r="O151" s="4" t="s">
        <v>50</v>
      </c>
      <c r="P151" s="4">
        <v>160</v>
      </c>
      <c r="Q151" s="4" t="s">
        <v>1310</v>
      </c>
      <c r="R151" s="4" t="s">
        <v>1311</v>
      </c>
      <c r="S151" s="4" t="s">
        <v>50</v>
      </c>
      <c r="T151" s="4" t="s">
        <v>50</v>
      </c>
      <c r="U151" s="4" t="s">
        <v>50</v>
      </c>
      <c r="V151" s="4" t="s">
        <v>1312</v>
      </c>
      <c r="W151" s="4" t="s">
        <v>54</v>
      </c>
      <c r="X151" s="4" t="s">
        <v>55</v>
      </c>
      <c r="Y151" s="4" t="s">
        <v>81</v>
      </c>
      <c r="Z151" s="4" t="s">
        <v>70</v>
      </c>
      <c r="AA151" s="4">
        <v>9</v>
      </c>
      <c r="AB151" s="4">
        <f>ROUND(I151*(1-AA151/100),-1)</f>
        <v>1960</v>
      </c>
      <c r="AC151" s="4">
        <f t="shared" si="2"/>
        <v>2150</v>
      </c>
      <c r="AD151" s="4">
        <v>14</v>
      </c>
      <c r="AE151" s="4">
        <v>15</v>
      </c>
      <c r="AF151" s="4">
        <v>9</v>
      </c>
      <c r="AG151" s="4">
        <v>35</v>
      </c>
      <c r="AH151" s="4">
        <v>225</v>
      </c>
      <c r="AI151" s="4">
        <f>ROUND(300*I151*(1+AE151/100+AF151/100),0)</f>
        <v>799800</v>
      </c>
      <c r="AJ151" s="4">
        <v>4.4000000000000004</v>
      </c>
      <c r="AK151" s="4">
        <v>243</v>
      </c>
      <c r="AL151" s="4" t="s">
        <v>111</v>
      </c>
      <c r="AM151" s="4" t="s">
        <v>59</v>
      </c>
    </row>
    <row r="152" spans="1:39" ht="213.75">
      <c r="A152" s="4" t="s">
        <v>1313</v>
      </c>
      <c r="B152" s="4" t="s">
        <v>1314</v>
      </c>
      <c r="C152" s="4" t="s">
        <v>94</v>
      </c>
      <c r="D152" s="4" t="s">
        <v>1315</v>
      </c>
      <c r="E152" s="4" t="s">
        <v>1316</v>
      </c>
      <c r="F152" s="4" t="s">
        <v>65</v>
      </c>
      <c r="G152" s="4" t="s">
        <v>1317</v>
      </c>
      <c r="H152" s="4" t="s">
        <v>1318</v>
      </c>
      <c r="I152" s="4">
        <v>1950</v>
      </c>
      <c r="J152" s="4">
        <v>2450</v>
      </c>
      <c r="K152" s="4">
        <v>4400</v>
      </c>
      <c r="L152" s="4">
        <v>375</v>
      </c>
      <c r="M152" s="4" t="s">
        <v>48</v>
      </c>
      <c r="N152" s="4" t="s">
        <v>40</v>
      </c>
      <c r="O152" s="4" t="s">
        <v>50</v>
      </c>
      <c r="P152" s="4">
        <v>75</v>
      </c>
      <c r="Q152" s="4" t="s">
        <v>1319</v>
      </c>
      <c r="R152" s="4" t="s">
        <v>1320</v>
      </c>
      <c r="S152" s="4" t="s">
        <v>50</v>
      </c>
      <c r="T152" s="4" t="s">
        <v>50</v>
      </c>
      <c r="U152" s="4" t="s">
        <v>50</v>
      </c>
      <c r="V152" s="4" t="s">
        <v>608</v>
      </c>
      <c r="W152" s="4" t="s">
        <v>54</v>
      </c>
      <c r="X152" s="4" t="s">
        <v>55</v>
      </c>
      <c r="Y152" s="4" t="s">
        <v>69</v>
      </c>
      <c r="Z152" s="4" t="s">
        <v>70</v>
      </c>
      <c r="AA152" s="4">
        <v>12</v>
      </c>
      <c r="AB152" s="4">
        <f>ROUND(I152*(1-AA152/100),-1)</f>
        <v>1720</v>
      </c>
      <c r="AC152" s="4">
        <f t="shared" si="2"/>
        <v>1950</v>
      </c>
      <c r="AD152" s="4">
        <v>21</v>
      </c>
      <c r="AE152" s="4">
        <v>15</v>
      </c>
      <c r="AF152" s="4">
        <v>10</v>
      </c>
      <c r="AG152" s="4">
        <v>33</v>
      </c>
      <c r="AH152" s="4">
        <v>125</v>
      </c>
      <c r="AI152" s="4">
        <f>ROUND(300*I152*(1+AE152/100+AF152/100),0)</f>
        <v>731250</v>
      </c>
      <c r="AJ152" s="4">
        <v>4.5</v>
      </c>
      <c r="AK152" s="4">
        <v>22</v>
      </c>
      <c r="AL152" s="4" t="s">
        <v>111</v>
      </c>
      <c r="AM152" s="4" t="s">
        <v>59</v>
      </c>
    </row>
    <row r="153" spans="1:39" ht="228">
      <c r="A153" s="4" t="s">
        <v>1321</v>
      </c>
      <c r="B153" s="4" t="s">
        <v>1322</v>
      </c>
      <c r="C153" s="4" t="s">
        <v>72</v>
      </c>
      <c r="D153" s="4" t="s">
        <v>1323</v>
      </c>
      <c r="E153" s="4" t="s">
        <v>1324</v>
      </c>
      <c r="F153" s="4" t="s">
        <v>282</v>
      </c>
      <c r="G153" s="4" t="s">
        <v>1325</v>
      </c>
      <c r="H153" s="4" t="s">
        <v>1326</v>
      </c>
      <c r="I153" s="4">
        <v>2400</v>
      </c>
      <c r="J153" s="4">
        <v>3200</v>
      </c>
      <c r="K153" s="4">
        <v>4900</v>
      </c>
      <c r="L153" s="4">
        <v>625</v>
      </c>
      <c r="M153" s="4" t="s">
        <v>48</v>
      </c>
      <c r="N153" s="4" t="s">
        <v>40</v>
      </c>
      <c r="O153" s="4" t="s">
        <v>50</v>
      </c>
      <c r="P153" s="4">
        <v>130</v>
      </c>
      <c r="Q153" s="4" t="s">
        <v>1327</v>
      </c>
      <c r="R153" s="4" t="s">
        <v>1328</v>
      </c>
      <c r="S153" s="4" t="s">
        <v>50</v>
      </c>
      <c r="T153" s="4" t="s">
        <v>50</v>
      </c>
      <c r="U153" s="4" t="s">
        <v>50</v>
      </c>
      <c r="V153" s="4" t="s">
        <v>1288</v>
      </c>
      <c r="W153" s="4" t="s">
        <v>54</v>
      </c>
      <c r="X153" s="4" t="s">
        <v>55</v>
      </c>
      <c r="Y153" s="4" t="s">
        <v>69</v>
      </c>
      <c r="Z153" s="4" t="s">
        <v>57</v>
      </c>
      <c r="AA153" s="4">
        <v>6</v>
      </c>
      <c r="AB153" s="4">
        <f>ROUND(I153*(1-AA153/100),-1)</f>
        <v>2260</v>
      </c>
      <c r="AC153" s="4">
        <f t="shared" si="2"/>
        <v>2400</v>
      </c>
      <c r="AD153" s="4">
        <v>16</v>
      </c>
      <c r="AE153" s="4">
        <v>15</v>
      </c>
      <c r="AF153" s="4">
        <v>6</v>
      </c>
      <c r="AG153" s="4">
        <v>41</v>
      </c>
      <c r="AH153" s="4">
        <v>175</v>
      </c>
      <c r="AI153" s="4">
        <f>ROUND(300*I153*(1+AE153/100+AF153/100),0)</f>
        <v>871200</v>
      </c>
      <c r="AJ153" s="4">
        <v>4.5999999999999996</v>
      </c>
      <c r="AK153" s="4">
        <v>291</v>
      </c>
      <c r="AL153" s="4" t="s">
        <v>111</v>
      </c>
      <c r="AM153" s="4" t="s">
        <v>59</v>
      </c>
    </row>
    <row r="154" spans="1:39" ht="228">
      <c r="A154" s="4" t="s">
        <v>1329</v>
      </c>
      <c r="B154" s="4" t="s">
        <v>1330</v>
      </c>
      <c r="C154" s="4" t="s">
        <v>72</v>
      </c>
      <c r="D154" s="4" t="s">
        <v>1331</v>
      </c>
      <c r="E154" s="4" t="s">
        <v>1332</v>
      </c>
      <c r="F154" s="4" t="s">
        <v>75</v>
      </c>
      <c r="G154" s="4" t="s">
        <v>1333</v>
      </c>
      <c r="H154" s="4" t="s">
        <v>1334</v>
      </c>
      <c r="I154" s="4">
        <v>2200</v>
      </c>
      <c r="J154" s="4">
        <v>2900</v>
      </c>
      <c r="K154" s="4">
        <v>4550</v>
      </c>
      <c r="L154" s="4">
        <v>500</v>
      </c>
      <c r="M154" s="4" t="s">
        <v>48</v>
      </c>
      <c r="N154" s="4" t="s">
        <v>40</v>
      </c>
      <c r="O154" s="4" t="s">
        <v>50</v>
      </c>
      <c r="P154" s="4">
        <v>120</v>
      </c>
      <c r="Q154" s="4" t="s">
        <v>51</v>
      </c>
      <c r="R154" s="4" t="s">
        <v>1335</v>
      </c>
      <c r="S154" s="4" t="s">
        <v>50</v>
      </c>
      <c r="T154" s="4" t="s">
        <v>50</v>
      </c>
      <c r="U154" s="4" t="s">
        <v>50</v>
      </c>
      <c r="V154" s="4" t="s">
        <v>206</v>
      </c>
      <c r="W154" s="4" t="s">
        <v>54</v>
      </c>
      <c r="X154" s="4" t="s">
        <v>55</v>
      </c>
      <c r="Y154" s="4" t="s">
        <v>69</v>
      </c>
      <c r="Z154" s="4" t="s">
        <v>57</v>
      </c>
      <c r="AA154" s="4">
        <v>5</v>
      </c>
      <c r="AB154" s="4">
        <f>ROUND(I154*(1-AA154/100),-1)</f>
        <v>2090</v>
      </c>
      <c r="AC154" s="4">
        <f t="shared" si="2"/>
        <v>2200</v>
      </c>
      <c r="AD154" s="4">
        <v>11</v>
      </c>
      <c r="AE154" s="4">
        <v>15</v>
      </c>
      <c r="AF154" s="4">
        <v>6</v>
      </c>
      <c r="AG154" s="4">
        <v>31</v>
      </c>
      <c r="AH154" s="4">
        <v>175</v>
      </c>
      <c r="AI154" s="4">
        <f>ROUND(300*I154*(1+AE154/100+AF154/100),0)</f>
        <v>798600</v>
      </c>
      <c r="AJ154" s="4">
        <v>4.2</v>
      </c>
      <c r="AK154" s="4">
        <v>139</v>
      </c>
      <c r="AL154" s="4" t="s">
        <v>111</v>
      </c>
      <c r="AM154" s="4" t="s">
        <v>59</v>
      </c>
    </row>
    <row r="155" spans="1:39" ht="213.75">
      <c r="A155" s="4" t="s">
        <v>1336</v>
      </c>
      <c r="B155" s="4" t="s">
        <v>1337</v>
      </c>
      <c r="C155" s="4" t="s">
        <v>72</v>
      </c>
      <c r="D155" s="4" t="s">
        <v>1338</v>
      </c>
      <c r="E155" s="4" t="s">
        <v>1324</v>
      </c>
      <c r="F155" s="4" t="s">
        <v>282</v>
      </c>
      <c r="G155" s="4" t="s">
        <v>1339</v>
      </c>
      <c r="H155" s="4" t="s">
        <v>1340</v>
      </c>
      <c r="I155" s="4">
        <v>2350</v>
      </c>
      <c r="J155" s="4">
        <v>2900</v>
      </c>
      <c r="K155" s="4">
        <v>4200</v>
      </c>
      <c r="L155" s="4">
        <v>300</v>
      </c>
      <c r="M155" s="4" t="s">
        <v>48</v>
      </c>
      <c r="N155" s="4" t="s">
        <v>40</v>
      </c>
      <c r="O155" s="4" t="s">
        <v>50</v>
      </c>
      <c r="P155" s="4">
        <v>70</v>
      </c>
      <c r="Q155" s="4" t="s">
        <v>1341</v>
      </c>
      <c r="R155" s="4" t="s">
        <v>1342</v>
      </c>
      <c r="S155" s="4" t="s">
        <v>50</v>
      </c>
      <c r="T155" s="4" t="s">
        <v>50</v>
      </c>
      <c r="U155" s="4" t="s">
        <v>50</v>
      </c>
      <c r="V155" s="4" t="s">
        <v>1343</v>
      </c>
      <c r="W155" s="4" t="s">
        <v>54</v>
      </c>
      <c r="X155" s="4" t="s">
        <v>55</v>
      </c>
      <c r="Y155" s="4" t="s">
        <v>169</v>
      </c>
      <c r="Z155" s="4" t="s">
        <v>57</v>
      </c>
      <c r="AA155" s="4">
        <v>10</v>
      </c>
      <c r="AB155" s="4">
        <f>ROUND(I155*(1-AA155/100),-1)</f>
        <v>2120</v>
      </c>
      <c r="AC155" s="4">
        <f t="shared" si="2"/>
        <v>2350</v>
      </c>
      <c r="AD155" s="4">
        <v>21</v>
      </c>
      <c r="AE155" s="4">
        <v>15</v>
      </c>
      <c r="AF155" s="4">
        <v>6</v>
      </c>
      <c r="AG155" s="4">
        <v>34</v>
      </c>
      <c r="AH155" s="4">
        <v>100</v>
      </c>
      <c r="AI155" s="4">
        <f>ROUND(300*I155*(1+AE155/100+AF155/100),0)</f>
        <v>853050</v>
      </c>
      <c r="AJ155" s="4">
        <v>3.9</v>
      </c>
      <c r="AK155" s="4">
        <v>280</v>
      </c>
      <c r="AL155" s="4" t="s">
        <v>111</v>
      </c>
      <c r="AM155" s="4" t="s">
        <v>59</v>
      </c>
    </row>
    <row r="156" spans="1:39" ht="213.75">
      <c r="A156" s="4" t="s">
        <v>1344</v>
      </c>
      <c r="B156" s="4" t="s">
        <v>1345</v>
      </c>
      <c r="C156" s="4" t="s">
        <v>94</v>
      </c>
      <c r="D156" s="4" t="s">
        <v>1346</v>
      </c>
      <c r="E156" s="4" t="s">
        <v>1347</v>
      </c>
      <c r="F156" s="4" t="s">
        <v>75</v>
      </c>
      <c r="G156" s="4" t="s">
        <v>1348</v>
      </c>
      <c r="H156" s="4" t="s">
        <v>1349</v>
      </c>
      <c r="I156" s="4">
        <v>1700</v>
      </c>
      <c r="J156" s="4">
        <v>2250</v>
      </c>
      <c r="K156" s="4">
        <v>3350</v>
      </c>
      <c r="L156" s="4">
        <v>350</v>
      </c>
      <c r="M156" s="4" t="s">
        <v>48</v>
      </c>
      <c r="N156" s="4" t="s">
        <v>40</v>
      </c>
      <c r="O156" s="4" t="s">
        <v>50</v>
      </c>
      <c r="P156" s="4">
        <v>60</v>
      </c>
      <c r="Q156" s="4" t="s">
        <v>1350</v>
      </c>
      <c r="R156" s="4" t="s">
        <v>1351</v>
      </c>
      <c r="S156" s="4" t="s">
        <v>50</v>
      </c>
      <c r="T156" s="4" t="s">
        <v>50</v>
      </c>
      <c r="U156" s="4" t="s">
        <v>50</v>
      </c>
      <c r="V156" s="4" t="s">
        <v>187</v>
      </c>
      <c r="W156" s="4" t="s">
        <v>54</v>
      </c>
      <c r="X156" s="4" t="s">
        <v>55</v>
      </c>
      <c r="Y156" s="4" t="s">
        <v>69</v>
      </c>
      <c r="Z156" s="4" t="s">
        <v>70</v>
      </c>
      <c r="AA156" s="4">
        <v>10</v>
      </c>
      <c r="AB156" s="4">
        <f>ROUND(I156*(1-AA156/100),-1)</f>
        <v>1530</v>
      </c>
      <c r="AC156" s="4">
        <f t="shared" si="2"/>
        <v>1700</v>
      </c>
      <c r="AD156" s="4">
        <v>20</v>
      </c>
      <c r="AE156" s="4">
        <v>15</v>
      </c>
      <c r="AF156" s="4">
        <v>9</v>
      </c>
      <c r="AG156" s="4">
        <v>31</v>
      </c>
      <c r="AH156" s="4">
        <v>125</v>
      </c>
      <c r="AI156" s="4">
        <f>ROUND(300*I156*(1+AE156/100+AF156/100),0)</f>
        <v>632400</v>
      </c>
      <c r="AJ156" s="4">
        <v>4.5999999999999996</v>
      </c>
      <c r="AK156" s="4">
        <v>474</v>
      </c>
      <c r="AL156" s="4" t="s">
        <v>111</v>
      </c>
      <c r="AM156" s="4" t="s">
        <v>59</v>
      </c>
    </row>
    <row r="157" spans="1:39" ht="228">
      <c r="A157" s="4" t="s">
        <v>1352</v>
      </c>
      <c r="B157" s="4" t="s">
        <v>1353</v>
      </c>
      <c r="C157" s="4" t="s">
        <v>72</v>
      </c>
      <c r="D157" s="4" t="s">
        <v>1354</v>
      </c>
      <c r="E157" s="4" t="s">
        <v>1355</v>
      </c>
      <c r="F157" s="4" t="s">
        <v>445</v>
      </c>
      <c r="G157" s="4" t="s">
        <v>1356</v>
      </c>
      <c r="H157" s="4" t="s">
        <v>1357</v>
      </c>
      <c r="I157" s="4">
        <v>2300</v>
      </c>
      <c r="J157" s="4">
        <v>2700</v>
      </c>
      <c r="K157" s="4">
        <v>4700</v>
      </c>
      <c r="L157" s="4">
        <v>525</v>
      </c>
      <c r="M157" s="4" t="s">
        <v>48</v>
      </c>
      <c r="N157" s="4" t="s">
        <v>40</v>
      </c>
      <c r="O157" s="4" t="s">
        <v>50</v>
      </c>
      <c r="P157" s="4">
        <v>135</v>
      </c>
      <c r="Q157" s="4" t="s">
        <v>1358</v>
      </c>
      <c r="R157" s="4" t="s">
        <v>1359</v>
      </c>
      <c r="S157" s="4" t="s">
        <v>50</v>
      </c>
      <c r="T157" s="4" t="s">
        <v>50</v>
      </c>
      <c r="U157" s="4" t="s">
        <v>50</v>
      </c>
      <c r="V157" s="4" t="s">
        <v>450</v>
      </c>
      <c r="W157" s="4" t="s">
        <v>54</v>
      </c>
      <c r="X157" s="4" t="s">
        <v>55</v>
      </c>
      <c r="Y157" s="4" t="s">
        <v>69</v>
      </c>
      <c r="Z157" s="4" t="s">
        <v>57</v>
      </c>
      <c r="AA157" s="4">
        <v>5</v>
      </c>
      <c r="AB157" s="4">
        <f>ROUND(I157*(1-AA157/100),-1)</f>
        <v>2190</v>
      </c>
      <c r="AC157" s="4">
        <f t="shared" si="2"/>
        <v>2300</v>
      </c>
      <c r="AD157" s="4">
        <v>17</v>
      </c>
      <c r="AE157" s="4">
        <v>15</v>
      </c>
      <c r="AF157" s="4">
        <v>5</v>
      </c>
      <c r="AG157" s="4">
        <v>36</v>
      </c>
      <c r="AH157" s="4">
        <v>150</v>
      </c>
      <c r="AI157" s="4">
        <f>ROUND(300*I157*(1+AE157/100+AF157/100),0)</f>
        <v>828000</v>
      </c>
      <c r="AJ157" s="4">
        <v>4.5999999999999996</v>
      </c>
      <c r="AK157" s="4">
        <v>44</v>
      </c>
      <c r="AL157" s="4" t="s">
        <v>58</v>
      </c>
      <c r="AM157" s="4" t="s">
        <v>59</v>
      </c>
    </row>
    <row r="158" spans="1:39" ht="228">
      <c r="A158" s="4" t="s">
        <v>1360</v>
      </c>
      <c r="B158" s="4" t="s">
        <v>1361</v>
      </c>
      <c r="C158" s="4" t="s">
        <v>72</v>
      </c>
      <c r="D158" s="4" t="s">
        <v>1362</v>
      </c>
      <c r="E158" s="4" t="s">
        <v>1324</v>
      </c>
      <c r="F158" s="4" t="s">
        <v>282</v>
      </c>
      <c r="G158" s="4" t="s">
        <v>1363</v>
      </c>
      <c r="H158" s="4" t="s">
        <v>1364</v>
      </c>
      <c r="I158" s="4">
        <v>2400</v>
      </c>
      <c r="J158" s="4">
        <v>3150</v>
      </c>
      <c r="K158" s="4">
        <v>4400</v>
      </c>
      <c r="L158" s="4">
        <v>650</v>
      </c>
      <c r="M158" s="4" t="s">
        <v>48</v>
      </c>
      <c r="N158" s="4" t="s">
        <v>40</v>
      </c>
      <c r="O158" s="4" t="s">
        <v>50</v>
      </c>
      <c r="P158" s="4">
        <v>170</v>
      </c>
      <c r="Q158" s="4" t="s">
        <v>874</v>
      </c>
      <c r="R158" s="4" t="s">
        <v>1365</v>
      </c>
      <c r="S158" s="4" t="s">
        <v>50</v>
      </c>
      <c r="T158" s="4" t="s">
        <v>50</v>
      </c>
      <c r="U158" s="4" t="s">
        <v>50</v>
      </c>
      <c r="V158" s="4" t="s">
        <v>1366</v>
      </c>
      <c r="W158" s="4" t="s">
        <v>54</v>
      </c>
      <c r="X158" s="4" t="s">
        <v>55</v>
      </c>
      <c r="Y158" s="4" t="s">
        <v>69</v>
      </c>
      <c r="Z158" s="4" t="s">
        <v>57</v>
      </c>
      <c r="AA158" s="4">
        <v>12</v>
      </c>
      <c r="AB158" s="4">
        <f>ROUND(I158*(1-AA158/100),-1)</f>
        <v>2110</v>
      </c>
      <c r="AC158" s="4">
        <f t="shared" si="2"/>
        <v>2400</v>
      </c>
      <c r="AD158" s="4">
        <v>14</v>
      </c>
      <c r="AE158" s="4">
        <v>15</v>
      </c>
      <c r="AF158" s="4">
        <v>7</v>
      </c>
      <c r="AG158" s="4">
        <v>42</v>
      </c>
      <c r="AH158" s="4">
        <v>200</v>
      </c>
      <c r="AI158" s="4">
        <f>ROUND(300*I158*(1+AE158/100+AF158/100),0)</f>
        <v>878400</v>
      </c>
      <c r="AJ158" s="4">
        <v>4.2</v>
      </c>
      <c r="AK158" s="4">
        <v>574</v>
      </c>
      <c r="AL158" s="4" t="s">
        <v>111</v>
      </c>
      <c r="AM158" s="4" t="s">
        <v>59</v>
      </c>
    </row>
    <row r="159" spans="1:39" ht="228">
      <c r="A159" s="4" t="s">
        <v>1367</v>
      </c>
      <c r="B159" s="4" t="s">
        <v>1368</v>
      </c>
      <c r="C159" s="4" t="s">
        <v>72</v>
      </c>
      <c r="D159" s="4" t="s">
        <v>1369</v>
      </c>
      <c r="E159" s="4" t="s">
        <v>1370</v>
      </c>
      <c r="F159" s="4" t="s">
        <v>86</v>
      </c>
      <c r="G159" s="4" t="s">
        <v>1371</v>
      </c>
      <c r="H159" s="4" t="s">
        <v>1372</v>
      </c>
      <c r="I159" s="4">
        <v>2300</v>
      </c>
      <c r="J159" s="4">
        <v>2950</v>
      </c>
      <c r="K159" s="4">
        <v>4450</v>
      </c>
      <c r="L159" s="4">
        <v>525</v>
      </c>
      <c r="M159" s="4" t="s">
        <v>48</v>
      </c>
      <c r="N159" s="4" t="s">
        <v>40</v>
      </c>
      <c r="O159" s="4" t="s">
        <v>50</v>
      </c>
      <c r="P159" s="4">
        <v>115</v>
      </c>
      <c r="Q159" s="4" t="s">
        <v>1373</v>
      </c>
      <c r="R159" s="4" t="s">
        <v>1374</v>
      </c>
      <c r="S159" s="4" t="s">
        <v>50</v>
      </c>
      <c r="T159" s="4" t="s">
        <v>50</v>
      </c>
      <c r="U159" s="4" t="s">
        <v>50</v>
      </c>
      <c r="V159" s="4" t="s">
        <v>339</v>
      </c>
      <c r="W159" s="4" t="s">
        <v>54</v>
      </c>
      <c r="X159" s="4" t="s">
        <v>55</v>
      </c>
      <c r="Y159" s="4" t="s">
        <v>69</v>
      </c>
      <c r="Z159" s="4" t="s">
        <v>57</v>
      </c>
      <c r="AA159" s="4">
        <v>11</v>
      </c>
      <c r="AB159" s="4">
        <f>ROUND(I159*(1-AA159/100),-1)</f>
        <v>2050</v>
      </c>
      <c r="AC159" s="4">
        <f t="shared" si="2"/>
        <v>2300</v>
      </c>
      <c r="AD159" s="4">
        <v>21</v>
      </c>
      <c r="AE159" s="4">
        <v>15</v>
      </c>
      <c r="AF159" s="4">
        <v>9</v>
      </c>
      <c r="AG159" s="4">
        <v>32</v>
      </c>
      <c r="AH159" s="4">
        <v>150</v>
      </c>
      <c r="AI159" s="4">
        <f>ROUND(300*I159*(1+AE159/100+AF159/100),0)</f>
        <v>855600</v>
      </c>
      <c r="AJ159" s="4">
        <v>4.8</v>
      </c>
      <c r="AK159" s="4">
        <v>290</v>
      </c>
      <c r="AL159" s="4" t="s">
        <v>111</v>
      </c>
      <c r="AM159" s="4" t="s">
        <v>59</v>
      </c>
    </row>
    <row r="160" spans="1:39" ht="256.5">
      <c r="A160" s="4" t="s">
        <v>1375</v>
      </c>
      <c r="B160" s="4" t="s">
        <v>1376</v>
      </c>
      <c r="C160" s="4" t="s">
        <v>72</v>
      </c>
      <c r="D160" s="4" t="s">
        <v>1377</v>
      </c>
      <c r="E160" s="4" t="s">
        <v>1378</v>
      </c>
      <c r="F160" s="4" t="s">
        <v>445</v>
      </c>
      <c r="G160" s="4" t="s">
        <v>1379</v>
      </c>
      <c r="H160" s="4" t="s">
        <v>1380</v>
      </c>
      <c r="I160" s="4">
        <v>2200</v>
      </c>
      <c r="J160" s="4">
        <v>3150</v>
      </c>
      <c r="K160" s="4">
        <v>4650</v>
      </c>
      <c r="L160" s="4">
        <v>625</v>
      </c>
      <c r="M160" s="4" t="s">
        <v>40</v>
      </c>
      <c r="N160" s="4" t="s">
        <v>40</v>
      </c>
      <c r="O160" s="4" t="s">
        <v>50</v>
      </c>
      <c r="P160" s="4">
        <v>180</v>
      </c>
      <c r="Q160" s="4" t="s">
        <v>740</v>
      </c>
      <c r="R160" s="4" t="s">
        <v>1381</v>
      </c>
      <c r="S160" s="4" t="s">
        <v>50</v>
      </c>
      <c r="T160" s="4" t="s">
        <v>50</v>
      </c>
      <c r="U160" s="4" t="s">
        <v>50</v>
      </c>
      <c r="V160" s="4" t="s">
        <v>1382</v>
      </c>
      <c r="W160" s="4" t="s">
        <v>54</v>
      </c>
      <c r="X160" s="4" t="s">
        <v>55</v>
      </c>
      <c r="Y160" s="4" t="s">
        <v>81</v>
      </c>
      <c r="Z160" s="4" t="s">
        <v>57</v>
      </c>
      <c r="AA160" s="4">
        <v>11</v>
      </c>
      <c r="AB160" s="4">
        <f>ROUND(I160*(1-AA160/100),-1)</f>
        <v>1960</v>
      </c>
      <c r="AC160" s="4">
        <f t="shared" si="2"/>
        <v>2200</v>
      </c>
      <c r="AD160" s="4">
        <v>10</v>
      </c>
      <c r="AE160" s="4">
        <v>15</v>
      </c>
      <c r="AF160" s="4">
        <v>9</v>
      </c>
      <c r="AG160" s="4">
        <v>36</v>
      </c>
      <c r="AH160" s="4">
        <v>175</v>
      </c>
      <c r="AI160" s="4">
        <f>ROUND(300*I160*(1+AE160/100+AF160/100),0)</f>
        <v>818400</v>
      </c>
      <c r="AJ160" s="4">
        <v>4.0999999999999996</v>
      </c>
      <c r="AK160" s="4">
        <v>622</v>
      </c>
      <c r="AL160" s="4" t="s">
        <v>111</v>
      </c>
      <c r="AM160" s="4" t="s">
        <v>59</v>
      </c>
    </row>
    <row r="161" spans="1:39" ht="228">
      <c r="A161" s="4" t="s">
        <v>1383</v>
      </c>
      <c r="B161" s="4" t="s">
        <v>1384</v>
      </c>
      <c r="C161" s="4" t="s">
        <v>94</v>
      </c>
      <c r="D161" s="4" t="s">
        <v>1385</v>
      </c>
      <c r="E161" s="4" t="s">
        <v>1386</v>
      </c>
      <c r="F161" s="4" t="s">
        <v>163</v>
      </c>
      <c r="G161" s="4" t="s">
        <v>1387</v>
      </c>
      <c r="H161" s="4" t="s">
        <v>1388</v>
      </c>
      <c r="I161" s="4">
        <v>2050</v>
      </c>
      <c r="J161" s="4">
        <v>2950</v>
      </c>
      <c r="K161" s="4">
        <v>3950</v>
      </c>
      <c r="L161" s="4">
        <v>500</v>
      </c>
      <c r="M161" s="4" t="s">
        <v>48</v>
      </c>
      <c r="N161" s="4" t="s">
        <v>40</v>
      </c>
      <c r="O161" s="4" t="s">
        <v>50</v>
      </c>
      <c r="P161" s="4">
        <v>135</v>
      </c>
      <c r="Q161" s="4" t="s">
        <v>1389</v>
      </c>
      <c r="R161" s="4" t="s">
        <v>1390</v>
      </c>
      <c r="S161" s="4" t="s">
        <v>50</v>
      </c>
      <c r="T161" s="4" t="s">
        <v>50</v>
      </c>
      <c r="U161" s="4" t="s">
        <v>50</v>
      </c>
      <c r="V161" s="4" t="s">
        <v>178</v>
      </c>
      <c r="W161" s="4" t="s">
        <v>54</v>
      </c>
      <c r="X161" s="4" t="s">
        <v>55</v>
      </c>
      <c r="Y161" s="4" t="s">
        <v>169</v>
      </c>
      <c r="Z161" s="4" t="s">
        <v>70</v>
      </c>
      <c r="AA161" s="4">
        <v>10</v>
      </c>
      <c r="AB161" s="4">
        <f>ROUND(I161*(1-AA161/100),-1)</f>
        <v>1850</v>
      </c>
      <c r="AC161" s="4">
        <f t="shared" si="2"/>
        <v>2050</v>
      </c>
      <c r="AD161" s="4">
        <v>20</v>
      </c>
      <c r="AE161" s="4">
        <v>15</v>
      </c>
      <c r="AF161" s="4">
        <v>6</v>
      </c>
      <c r="AG161" s="4">
        <v>34</v>
      </c>
      <c r="AH161" s="4">
        <v>200</v>
      </c>
      <c r="AI161" s="4">
        <f>ROUND(300*I161*(1+AE161/100+AF161/100),0)</f>
        <v>744150</v>
      </c>
      <c r="AJ161" s="4">
        <v>4.0999999999999996</v>
      </c>
      <c r="AK161" s="4">
        <v>206</v>
      </c>
      <c r="AL161" s="4" t="s">
        <v>111</v>
      </c>
      <c r="AM161" s="4" t="s">
        <v>59</v>
      </c>
    </row>
    <row r="162" spans="1:39" ht="228">
      <c r="A162" s="4" t="s">
        <v>1391</v>
      </c>
      <c r="B162" s="4" t="s">
        <v>1392</v>
      </c>
      <c r="C162" s="4" t="s">
        <v>94</v>
      </c>
      <c r="D162" s="4" t="s">
        <v>1393</v>
      </c>
      <c r="E162" s="4" t="s">
        <v>1394</v>
      </c>
      <c r="F162" s="4" t="s">
        <v>75</v>
      </c>
      <c r="G162" s="4" t="s">
        <v>1395</v>
      </c>
      <c r="H162" s="4" t="s">
        <v>1396</v>
      </c>
      <c r="I162" s="4">
        <v>2050</v>
      </c>
      <c r="J162" s="4">
        <v>2700</v>
      </c>
      <c r="K162" s="4">
        <v>4250</v>
      </c>
      <c r="L162" s="4">
        <v>500</v>
      </c>
      <c r="M162" s="4" t="s">
        <v>48</v>
      </c>
      <c r="N162" s="4" t="s">
        <v>40</v>
      </c>
      <c r="O162" s="4" t="s">
        <v>50</v>
      </c>
      <c r="P162" s="4">
        <v>125</v>
      </c>
      <c r="Q162" s="4" t="s">
        <v>1397</v>
      </c>
      <c r="R162" s="4" t="s">
        <v>1398</v>
      </c>
      <c r="S162" s="4" t="s">
        <v>50</v>
      </c>
      <c r="T162" s="4" t="s">
        <v>50</v>
      </c>
      <c r="U162" s="4" t="s">
        <v>50</v>
      </c>
      <c r="V162" s="4" t="s">
        <v>187</v>
      </c>
      <c r="W162" s="4" t="s">
        <v>54</v>
      </c>
      <c r="X162" s="4" t="s">
        <v>55</v>
      </c>
      <c r="Y162" s="4" t="s">
        <v>69</v>
      </c>
      <c r="Z162" s="4" t="s">
        <v>70</v>
      </c>
      <c r="AA162" s="4">
        <v>10</v>
      </c>
      <c r="AB162" s="4">
        <f>ROUND(I162*(1-AA162/100),-1)</f>
        <v>1850</v>
      </c>
      <c r="AC162" s="4">
        <f t="shared" si="2"/>
        <v>2050</v>
      </c>
      <c r="AD162" s="4">
        <v>21</v>
      </c>
      <c r="AE162" s="4">
        <v>15</v>
      </c>
      <c r="AF162" s="4">
        <v>8</v>
      </c>
      <c r="AG162" s="4">
        <v>34</v>
      </c>
      <c r="AH162" s="4">
        <v>200</v>
      </c>
      <c r="AI162" s="4">
        <f>ROUND(300*I162*(1+AE162/100+AF162/100),0)</f>
        <v>756450</v>
      </c>
      <c r="AJ162" s="4">
        <v>4.3</v>
      </c>
      <c r="AK162" s="4">
        <v>834</v>
      </c>
      <c r="AL162" s="4" t="s">
        <v>111</v>
      </c>
      <c r="AM162" s="4" t="s">
        <v>59</v>
      </c>
    </row>
    <row r="163" spans="1:39" ht="228">
      <c r="A163" s="4" t="s">
        <v>1399</v>
      </c>
      <c r="B163" s="4" t="s">
        <v>1400</v>
      </c>
      <c r="C163" s="4" t="s">
        <v>94</v>
      </c>
      <c r="D163" s="4" t="s">
        <v>1401</v>
      </c>
      <c r="E163" s="4" t="s">
        <v>1402</v>
      </c>
      <c r="F163" s="4" t="s">
        <v>192</v>
      </c>
      <c r="G163" s="4" t="s">
        <v>1403</v>
      </c>
      <c r="H163" s="4" t="s">
        <v>1404</v>
      </c>
      <c r="I163" s="4">
        <v>2050</v>
      </c>
      <c r="J163" s="4">
        <v>2700</v>
      </c>
      <c r="K163" s="4">
        <v>3900</v>
      </c>
      <c r="L163" s="4">
        <v>675</v>
      </c>
      <c r="M163" s="4" t="s">
        <v>48</v>
      </c>
      <c r="N163" s="4" t="s">
        <v>40</v>
      </c>
      <c r="O163" s="4" t="s">
        <v>50</v>
      </c>
      <c r="P163" s="4">
        <v>130</v>
      </c>
      <c r="Q163" s="4" t="s">
        <v>1405</v>
      </c>
      <c r="R163" s="4" t="s">
        <v>1406</v>
      </c>
      <c r="S163" s="4" t="s">
        <v>50</v>
      </c>
      <c r="T163" s="4" t="s">
        <v>50</v>
      </c>
      <c r="U163" s="4" t="s">
        <v>50</v>
      </c>
      <c r="V163" s="4" t="s">
        <v>197</v>
      </c>
      <c r="W163" s="4" t="s">
        <v>54</v>
      </c>
      <c r="X163" s="4" t="s">
        <v>55</v>
      </c>
      <c r="Y163" s="4" t="s">
        <v>69</v>
      </c>
      <c r="Z163" s="4" t="s">
        <v>70</v>
      </c>
      <c r="AA163" s="4">
        <v>11</v>
      </c>
      <c r="AB163" s="4">
        <f>ROUND(I163*(1-AA163/100),-1)</f>
        <v>1820</v>
      </c>
      <c r="AC163" s="4">
        <f t="shared" si="2"/>
        <v>2050</v>
      </c>
      <c r="AD163" s="4">
        <v>12</v>
      </c>
      <c r="AE163" s="4">
        <v>15</v>
      </c>
      <c r="AF163" s="4">
        <v>8</v>
      </c>
      <c r="AG163" s="4">
        <v>44</v>
      </c>
      <c r="AH163" s="4">
        <v>225</v>
      </c>
      <c r="AI163" s="4">
        <f>ROUND(300*I163*(1+AE163/100+AF163/100),0)</f>
        <v>756450</v>
      </c>
      <c r="AJ163" s="4">
        <v>3.9</v>
      </c>
      <c r="AK163" s="4">
        <v>591</v>
      </c>
      <c r="AL163" s="4" t="s">
        <v>111</v>
      </c>
      <c r="AM163" s="4" t="s">
        <v>59</v>
      </c>
    </row>
    <row r="164" spans="1:39" ht="256.5">
      <c r="A164" s="4" t="s">
        <v>1407</v>
      </c>
      <c r="B164" s="4" t="s">
        <v>1408</v>
      </c>
      <c r="C164" s="4" t="s">
        <v>94</v>
      </c>
      <c r="D164" s="4" t="s">
        <v>1409</v>
      </c>
      <c r="E164" s="4" t="s">
        <v>1410</v>
      </c>
      <c r="F164" s="4" t="s">
        <v>65</v>
      </c>
      <c r="G164" s="4" t="s">
        <v>1411</v>
      </c>
      <c r="H164" s="4" t="s">
        <v>1412</v>
      </c>
      <c r="I164" s="4">
        <v>2000</v>
      </c>
      <c r="J164" s="4">
        <v>2750</v>
      </c>
      <c r="K164" s="4">
        <v>3800</v>
      </c>
      <c r="L164" s="4">
        <v>1075</v>
      </c>
      <c r="M164" s="4" t="s">
        <v>40</v>
      </c>
      <c r="N164" s="4" t="s">
        <v>49</v>
      </c>
      <c r="O164" s="4" t="s">
        <v>50</v>
      </c>
      <c r="P164" s="4">
        <v>235</v>
      </c>
      <c r="Q164" s="4" t="s">
        <v>1413</v>
      </c>
      <c r="R164" s="4" t="s">
        <v>1414</v>
      </c>
      <c r="S164" s="4" t="s">
        <v>50</v>
      </c>
      <c r="T164" s="4" t="s">
        <v>50</v>
      </c>
      <c r="U164" s="4" t="s">
        <v>50</v>
      </c>
      <c r="V164" s="4" t="s">
        <v>1077</v>
      </c>
      <c r="W164" s="4" t="s">
        <v>54</v>
      </c>
      <c r="X164" s="4" t="s">
        <v>55</v>
      </c>
      <c r="Y164" s="4" t="s">
        <v>81</v>
      </c>
      <c r="Z164" s="4" t="s">
        <v>70</v>
      </c>
      <c r="AA164" s="4">
        <v>11</v>
      </c>
      <c r="AB164" s="4">
        <f>ROUND(I164*(1-AA164/100),-1)</f>
        <v>1780</v>
      </c>
      <c r="AC164" s="4">
        <f t="shared" si="2"/>
        <v>2000</v>
      </c>
      <c r="AD164" s="4">
        <v>11</v>
      </c>
      <c r="AE164" s="4">
        <v>15</v>
      </c>
      <c r="AF164" s="4">
        <v>7</v>
      </c>
      <c r="AG164" s="4">
        <v>41</v>
      </c>
      <c r="AH164" s="4">
        <v>325</v>
      </c>
      <c r="AI164" s="4">
        <f>ROUND(300*I164*(1+AE164/100+AF164/100),0)</f>
        <v>732000</v>
      </c>
      <c r="AJ164" s="4">
        <v>4.8</v>
      </c>
      <c r="AK164" s="4">
        <v>210</v>
      </c>
      <c r="AL164" s="4" t="s">
        <v>58</v>
      </c>
      <c r="AM164" s="4" t="s">
        <v>59</v>
      </c>
    </row>
    <row r="165" spans="1:39" ht="256.5">
      <c r="A165" s="4" t="s">
        <v>1415</v>
      </c>
      <c r="B165" s="4" t="s">
        <v>1416</v>
      </c>
      <c r="C165" s="4" t="s">
        <v>72</v>
      </c>
      <c r="D165" s="4" t="s">
        <v>1417</v>
      </c>
      <c r="E165" s="4" t="s">
        <v>1418</v>
      </c>
      <c r="F165" s="4" t="s">
        <v>192</v>
      </c>
      <c r="G165" s="4" t="s">
        <v>1419</v>
      </c>
      <c r="H165" s="4" t="s">
        <v>1420</v>
      </c>
      <c r="I165" s="4">
        <v>2200</v>
      </c>
      <c r="J165" s="4">
        <v>3100</v>
      </c>
      <c r="K165" s="4">
        <v>5200</v>
      </c>
      <c r="L165" s="4">
        <v>775</v>
      </c>
      <c r="M165" s="4" t="s">
        <v>40</v>
      </c>
      <c r="N165" s="4" t="s">
        <v>40</v>
      </c>
      <c r="O165" s="4" t="s">
        <v>50</v>
      </c>
      <c r="P165" s="4">
        <v>190</v>
      </c>
      <c r="Q165" s="4" t="s">
        <v>1421</v>
      </c>
      <c r="R165" s="4" t="s">
        <v>1422</v>
      </c>
      <c r="S165" s="4" t="s">
        <v>50</v>
      </c>
      <c r="T165" s="4" t="s">
        <v>50</v>
      </c>
      <c r="U165" s="4" t="s">
        <v>50</v>
      </c>
      <c r="V165" s="4" t="s">
        <v>517</v>
      </c>
      <c r="W165" s="4" t="s">
        <v>54</v>
      </c>
      <c r="X165" s="4" t="s">
        <v>55</v>
      </c>
      <c r="Y165" s="4" t="s">
        <v>81</v>
      </c>
      <c r="Z165" s="4" t="s">
        <v>57</v>
      </c>
      <c r="AA165" s="4">
        <v>11</v>
      </c>
      <c r="AB165" s="4">
        <f>ROUND(I165*(1-AA165/100),-1)</f>
        <v>1960</v>
      </c>
      <c r="AC165" s="4">
        <f t="shared" si="2"/>
        <v>2200</v>
      </c>
      <c r="AD165" s="4">
        <v>18</v>
      </c>
      <c r="AE165" s="4">
        <v>15</v>
      </c>
      <c r="AF165" s="4">
        <v>8</v>
      </c>
      <c r="AG165" s="4">
        <v>44</v>
      </c>
      <c r="AH165" s="4">
        <v>225</v>
      </c>
      <c r="AI165" s="4">
        <f>ROUND(300*I165*(1+AE165/100+AF165/100),0)</f>
        <v>811800</v>
      </c>
      <c r="AJ165" s="4">
        <v>4.5999999999999996</v>
      </c>
      <c r="AK165" s="4">
        <v>98</v>
      </c>
      <c r="AL165" s="4" t="s">
        <v>111</v>
      </c>
      <c r="AM165" s="4" t="s">
        <v>59</v>
      </c>
    </row>
    <row r="166" spans="1:39" ht="213.75">
      <c r="A166" s="4" t="s">
        <v>1423</v>
      </c>
      <c r="B166" s="4" t="s">
        <v>1424</v>
      </c>
      <c r="C166" s="4" t="s">
        <v>72</v>
      </c>
      <c r="D166" s="4" t="s">
        <v>1425</v>
      </c>
      <c r="E166" s="4" t="s">
        <v>1426</v>
      </c>
      <c r="F166" s="4" t="s">
        <v>86</v>
      </c>
      <c r="G166" s="4" t="s">
        <v>1427</v>
      </c>
      <c r="H166" s="4" t="s">
        <v>1428</v>
      </c>
      <c r="I166" s="4">
        <v>2200</v>
      </c>
      <c r="J166" s="4">
        <v>3050</v>
      </c>
      <c r="K166" s="4">
        <v>4500</v>
      </c>
      <c r="L166" s="4">
        <v>325</v>
      </c>
      <c r="M166" s="4" t="s">
        <v>48</v>
      </c>
      <c r="N166" s="4" t="s">
        <v>40</v>
      </c>
      <c r="O166" s="4" t="s">
        <v>50</v>
      </c>
      <c r="P166" s="4">
        <v>80</v>
      </c>
      <c r="Q166" s="4" t="s">
        <v>1429</v>
      </c>
      <c r="R166" s="4" t="s">
        <v>1430</v>
      </c>
      <c r="S166" s="4" t="s">
        <v>50</v>
      </c>
      <c r="T166" s="4" t="s">
        <v>50</v>
      </c>
      <c r="U166" s="4" t="s">
        <v>50</v>
      </c>
      <c r="V166" s="4" t="s">
        <v>339</v>
      </c>
      <c r="W166" s="4" t="s">
        <v>54</v>
      </c>
      <c r="X166" s="4" t="s">
        <v>55</v>
      </c>
      <c r="Y166" s="4" t="s">
        <v>69</v>
      </c>
      <c r="Z166" s="4" t="s">
        <v>57</v>
      </c>
      <c r="AA166" s="4">
        <v>9</v>
      </c>
      <c r="AB166" s="4">
        <f>ROUND(I166*(1-AA166/100),-1)</f>
        <v>2000</v>
      </c>
      <c r="AC166" s="4">
        <f t="shared" si="2"/>
        <v>2200</v>
      </c>
      <c r="AD166" s="4">
        <v>16</v>
      </c>
      <c r="AE166" s="4">
        <v>15</v>
      </c>
      <c r="AF166" s="4">
        <v>7</v>
      </c>
      <c r="AG166" s="4">
        <v>32</v>
      </c>
      <c r="AH166" s="4">
        <v>100</v>
      </c>
      <c r="AI166" s="4">
        <f>ROUND(300*I166*(1+AE166/100+AF166/100),0)</f>
        <v>805200</v>
      </c>
      <c r="AJ166" s="4">
        <v>4</v>
      </c>
      <c r="AK166" s="4">
        <v>817</v>
      </c>
      <c r="AL166" s="4" t="s">
        <v>111</v>
      </c>
      <c r="AM166" s="4" t="s">
        <v>59</v>
      </c>
    </row>
    <row r="167" spans="1:39" ht="228">
      <c r="A167" s="4" t="s">
        <v>1431</v>
      </c>
      <c r="B167" s="4" t="s">
        <v>1432</v>
      </c>
      <c r="C167" s="4" t="s">
        <v>72</v>
      </c>
      <c r="D167" s="4" t="s">
        <v>1433</v>
      </c>
      <c r="E167" s="4" t="s">
        <v>1434</v>
      </c>
      <c r="F167" s="4" t="s">
        <v>153</v>
      </c>
      <c r="G167" s="4" t="s">
        <v>1435</v>
      </c>
      <c r="H167" s="4" t="s">
        <v>1436</v>
      </c>
      <c r="I167" s="4">
        <v>2350</v>
      </c>
      <c r="J167" s="4">
        <v>3200</v>
      </c>
      <c r="K167" s="4">
        <v>4850</v>
      </c>
      <c r="L167" s="4">
        <v>575</v>
      </c>
      <c r="M167" s="4" t="s">
        <v>48</v>
      </c>
      <c r="N167" s="4" t="s">
        <v>40</v>
      </c>
      <c r="O167" s="4" t="s">
        <v>50</v>
      </c>
      <c r="P167" s="4">
        <v>155</v>
      </c>
      <c r="Q167" s="4" t="s">
        <v>1437</v>
      </c>
      <c r="R167" s="4" t="s">
        <v>1438</v>
      </c>
      <c r="S167" s="4" t="s">
        <v>50</v>
      </c>
      <c r="T167" s="4" t="s">
        <v>50</v>
      </c>
      <c r="U167" s="4" t="s">
        <v>50</v>
      </c>
      <c r="V167" s="4" t="s">
        <v>215</v>
      </c>
      <c r="W167" s="4" t="s">
        <v>54</v>
      </c>
      <c r="X167" s="4" t="s">
        <v>55</v>
      </c>
      <c r="Y167" s="4" t="s">
        <v>69</v>
      </c>
      <c r="Z167" s="4" t="s">
        <v>57</v>
      </c>
      <c r="AA167" s="4">
        <v>6</v>
      </c>
      <c r="AB167" s="4">
        <f>ROUND(I167*(1-AA167/100),-1)</f>
        <v>2210</v>
      </c>
      <c r="AC167" s="4">
        <f t="shared" si="2"/>
        <v>2350</v>
      </c>
      <c r="AD167" s="4">
        <v>13</v>
      </c>
      <c r="AE167" s="4">
        <v>15</v>
      </c>
      <c r="AF167" s="4">
        <v>8</v>
      </c>
      <c r="AG167" s="4">
        <v>45</v>
      </c>
      <c r="AH167" s="4">
        <v>200</v>
      </c>
      <c r="AI167" s="4">
        <f>ROUND(300*I167*(1+AE167/100+AF167/100),0)</f>
        <v>867150</v>
      </c>
      <c r="AJ167" s="4">
        <v>4.3</v>
      </c>
      <c r="AK167" s="4">
        <v>639</v>
      </c>
      <c r="AL167" s="4" t="s">
        <v>111</v>
      </c>
      <c r="AM167" s="4" t="s">
        <v>59</v>
      </c>
    </row>
    <row r="168" spans="1:39" ht="256.5">
      <c r="A168" s="4" t="s">
        <v>1439</v>
      </c>
      <c r="B168" s="4" t="s">
        <v>1440</v>
      </c>
      <c r="C168" s="4" t="s">
        <v>72</v>
      </c>
      <c r="D168" s="4" t="s">
        <v>1441</v>
      </c>
      <c r="E168" s="4" t="s">
        <v>1324</v>
      </c>
      <c r="F168" s="4" t="s">
        <v>282</v>
      </c>
      <c r="G168" s="4" t="s">
        <v>1442</v>
      </c>
      <c r="H168" s="4" t="s">
        <v>1443</v>
      </c>
      <c r="I168" s="4">
        <v>2550</v>
      </c>
      <c r="J168" s="4">
        <v>3100</v>
      </c>
      <c r="K168" s="4">
        <v>4650</v>
      </c>
      <c r="L168" s="4">
        <v>725</v>
      </c>
      <c r="M168" s="4" t="s">
        <v>40</v>
      </c>
      <c r="N168" s="4" t="s">
        <v>40</v>
      </c>
      <c r="O168" s="4" t="s">
        <v>50</v>
      </c>
      <c r="P168" s="4">
        <v>180</v>
      </c>
      <c r="Q168" s="4" t="s">
        <v>431</v>
      </c>
      <c r="R168" s="4" t="s">
        <v>1444</v>
      </c>
      <c r="S168" s="4" t="s">
        <v>50</v>
      </c>
      <c r="T168" s="4" t="s">
        <v>50</v>
      </c>
      <c r="U168" s="4" t="s">
        <v>50</v>
      </c>
      <c r="V168" s="4" t="s">
        <v>1445</v>
      </c>
      <c r="W168" s="4" t="s">
        <v>54</v>
      </c>
      <c r="X168" s="4" t="s">
        <v>55</v>
      </c>
      <c r="Y168" s="4" t="s">
        <v>81</v>
      </c>
      <c r="Z168" s="4" t="s">
        <v>57</v>
      </c>
      <c r="AA168" s="4">
        <v>6</v>
      </c>
      <c r="AB168" s="4">
        <f>ROUND(I168*(1-AA168/100),-1)</f>
        <v>2400</v>
      </c>
      <c r="AC168" s="4">
        <f t="shared" si="2"/>
        <v>2550</v>
      </c>
      <c r="AD168" s="4">
        <v>22</v>
      </c>
      <c r="AE168" s="4">
        <v>15</v>
      </c>
      <c r="AF168" s="4">
        <v>7</v>
      </c>
      <c r="AG168" s="4">
        <v>34</v>
      </c>
      <c r="AH168" s="4">
        <v>275</v>
      </c>
      <c r="AI168" s="4">
        <f>ROUND(300*I168*(1+AE168/100+AF168/100),0)</f>
        <v>933300</v>
      </c>
      <c r="AJ168" s="4">
        <v>4.4000000000000004</v>
      </c>
      <c r="AK168" s="4">
        <v>683</v>
      </c>
      <c r="AL168" s="4" t="s">
        <v>111</v>
      </c>
      <c r="AM168" s="4" t="s">
        <v>59</v>
      </c>
    </row>
    <row r="169" spans="1:39" ht="213.75">
      <c r="A169" s="4" t="s">
        <v>1446</v>
      </c>
      <c r="B169" s="4" t="s">
        <v>1447</v>
      </c>
      <c r="C169" s="4" t="s">
        <v>94</v>
      </c>
      <c r="D169" s="4" t="s">
        <v>1448</v>
      </c>
      <c r="E169" s="4" t="s">
        <v>1449</v>
      </c>
      <c r="F169" s="4" t="s">
        <v>65</v>
      </c>
      <c r="G169" s="4" t="s">
        <v>1450</v>
      </c>
      <c r="H169" s="4" t="s">
        <v>1451</v>
      </c>
      <c r="I169" s="4">
        <v>1750</v>
      </c>
      <c r="J169" s="4">
        <v>2300</v>
      </c>
      <c r="K169" s="4">
        <v>3850</v>
      </c>
      <c r="L169" s="4">
        <v>450</v>
      </c>
      <c r="M169" s="4" t="s">
        <v>48</v>
      </c>
      <c r="N169" s="4" t="s">
        <v>40</v>
      </c>
      <c r="O169" s="4" t="s">
        <v>50</v>
      </c>
      <c r="P169" s="4">
        <v>95</v>
      </c>
      <c r="Q169" s="4" t="s">
        <v>1452</v>
      </c>
      <c r="R169" s="4" t="s">
        <v>1453</v>
      </c>
      <c r="S169" s="4" t="s">
        <v>50</v>
      </c>
      <c r="T169" s="4" t="s">
        <v>50</v>
      </c>
      <c r="U169" s="4" t="s">
        <v>50</v>
      </c>
      <c r="V169" s="4" t="s">
        <v>608</v>
      </c>
      <c r="W169" s="4" t="s">
        <v>54</v>
      </c>
      <c r="X169" s="4" t="s">
        <v>55</v>
      </c>
      <c r="Y169" s="4" t="s">
        <v>69</v>
      </c>
      <c r="Z169" s="4" t="s">
        <v>70</v>
      </c>
      <c r="AA169" s="4">
        <v>8</v>
      </c>
      <c r="AB169" s="4">
        <f>ROUND(I169*(1-AA169/100),-1)</f>
        <v>1610</v>
      </c>
      <c r="AC169" s="4">
        <f t="shared" si="2"/>
        <v>1750</v>
      </c>
      <c r="AD169" s="4">
        <v>17</v>
      </c>
      <c r="AE169" s="4">
        <v>15</v>
      </c>
      <c r="AF169" s="4">
        <v>7</v>
      </c>
      <c r="AG169" s="4">
        <v>34</v>
      </c>
      <c r="AH169" s="4">
        <v>175</v>
      </c>
      <c r="AI169" s="4">
        <f>ROUND(300*I169*(1+AE169/100+AF169/100),0)</f>
        <v>640500</v>
      </c>
      <c r="AJ169" s="4">
        <v>4.0999999999999996</v>
      </c>
      <c r="AK169" s="4">
        <v>533</v>
      </c>
      <c r="AL169" s="4" t="s">
        <v>111</v>
      </c>
      <c r="AM169" s="4" t="s">
        <v>59</v>
      </c>
    </row>
    <row r="170" spans="1:39" ht="228">
      <c r="A170" s="4" t="s">
        <v>1454</v>
      </c>
      <c r="B170" s="4" t="s">
        <v>1455</v>
      </c>
      <c r="C170" s="4" t="s">
        <v>94</v>
      </c>
      <c r="D170" s="4" t="s">
        <v>1456</v>
      </c>
      <c r="E170" s="4" t="s">
        <v>1299</v>
      </c>
      <c r="F170" s="4" t="s">
        <v>75</v>
      </c>
      <c r="G170" s="4" t="s">
        <v>1457</v>
      </c>
      <c r="H170" s="4" t="s">
        <v>1458</v>
      </c>
      <c r="I170" s="4">
        <v>1900</v>
      </c>
      <c r="J170" s="4">
        <v>2700</v>
      </c>
      <c r="K170" s="4">
        <v>4250</v>
      </c>
      <c r="L170" s="4">
        <v>700</v>
      </c>
      <c r="M170" s="4" t="s">
        <v>48</v>
      </c>
      <c r="N170" s="4" t="s">
        <v>40</v>
      </c>
      <c r="O170" s="4" t="s">
        <v>50</v>
      </c>
      <c r="P170" s="4">
        <v>180</v>
      </c>
      <c r="Q170" s="4" t="s">
        <v>1459</v>
      </c>
      <c r="R170" s="4" t="s">
        <v>1460</v>
      </c>
      <c r="S170" s="4" t="s">
        <v>50</v>
      </c>
      <c r="T170" s="4" t="s">
        <v>50</v>
      </c>
      <c r="U170" s="4" t="s">
        <v>50</v>
      </c>
      <c r="V170" s="4" t="s">
        <v>148</v>
      </c>
      <c r="W170" s="4" t="s">
        <v>54</v>
      </c>
      <c r="X170" s="4" t="s">
        <v>55</v>
      </c>
      <c r="Y170" s="4" t="s">
        <v>69</v>
      </c>
      <c r="Z170" s="4" t="s">
        <v>70</v>
      </c>
      <c r="AA170" s="4">
        <v>8</v>
      </c>
      <c r="AB170" s="4">
        <f>ROUND(I170*(1-AA170/100),-1)</f>
        <v>1750</v>
      </c>
      <c r="AC170" s="4">
        <f t="shared" si="2"/>
        <v>1900</v>
      </c>
      <c r="AD170" s="4">
        <v>14</v>
      </c>
      <c r="AE170" s="4">
        <v>15</v>
      </c>
      <c r="AF170" s="4">
        <v>8</v>
      </c>
      <c r="AG170" s="4">
        <v>36</v>
      </c>
      <c r="AH170" s="4">
        <v>225</v>
      </c>
      <c r="AI170" s="4">
        <f>ROUND(300*I170*(1+AE170/100+AF170/100),0)</f>
        <v>701100</v>
      </c>
      <c r="AJ170" s="4">
        <v>3.8</v>
      </c>
      <c r="AK170" s="4">
        <v>149</v>
      </c>
      <c r="AL170" s="4" t="s">
        <v>111</v>
      </c>
      <c r="AM170" s="4" t="s">
        <v>59</v>
      </c>
    </row>
    <row r="171" spans="1:39" ht="256.5">
      <c r="A171" s="4" t="s">
        <v>1461</v>
      </c>
      <c r="B171" s="4" t="s">
        <v>1462</v>
      </c>
      <c r="C171" s="4" t="s">
        <v>72</v>
      </c>
      <c r="D171" s="4" t="s">
        <v>1463</v>
      </c>
      <c r="E171" s="4" t="s">
        <v>1464</v>
      </c>
      <c r="F171" s="4" t="s">
        <v>75</v>
      </c>
      <c r="G171" s="4" t="s">
        <v>1465</v>
      </c>
      <c r="H171" s="4" t="s">
        <v>1466</v>
      </c>
      <c r="I171" s="4">
        <v>2650</v>
      </c>
      <c r="J171" s="4">
        <v>3200</v>
      </c>
      <c r="K171" s="4">
        <v>4250</v>
      </c>
      <c r="L171" s="4">
        <v>1050</v>
      </c>
      <c r="M171" s="4" t="s">
        <v>40</v>
      </c>
      <c r="N171" s="4" t="s">
        <v>60</v>
      </c>
      <c r="O171" s="4" t="s">
        <v>50</v>
      </c>
      <c r="P171" s="4">
        <v>230</v>
      </c>
      <c r="Q171" s="4" t="s">
        <v>1467</v>
      </c>
      <c r="R171" s="4" t="s">
        <v>1468</v>
      </c>
      <c r="S171" s="4" t="s">
        <v>50</v>
      </c>
      <c r="T171" s="4" t="s">
        <v>50</v>
      </c>
      <c r="U171" s="4" t="s">
        <v>50</v>
      </c>
      <c r="V171" s="4" t="s">
        <v>1469</v>
      </c>
      <c r="W171" s="4" t="s">
        <v>54</v>
      </c>
      <c r="X171" s="4" t="s">
        <v>55</v>
      </c>
      <c r="Y171" s="4" t="s">
        <v>81</v>
      </c>
      <c r="Z171" s="4" t="s">
        <v>57</v>
      </c>
      <c r="AA171" s="4">
        <v>10</v>
      </c>
      <c r="AB171" s="4">
        <f>ROUND(I171*(1-AA171/100),-1)</f>
        <v>2390</v>
      </c>
      <c r="AC171" s="4">
        <f t="shared" si="2"/>
        <v>2650</v>
      </c>
      <c r="AD171" s="4">
        <v>15</v>
      </c>
      <c r="AE171" s="4">
        <v>15</v>
      </c>
      <c r="AF171" s="4">
        <v>5</v>
      </c>
      <c r="AG171" s="4">
        <v>42</v>
      </c>
      <c r="AH171" s="4">
        <v>325</v>
      </c>
      <c r="AI171" s="4">
        <f>ROUND(300*I171*(1+AE171/100+AF171/100),0)</f>
        <v>954000</v>
      </c>
      <c r="AJ171" s="4">
        <v>4.7</v>
      </c>
      <c r="AK171" s="4">
        <v>354</v>
      </c>
      <c r="AL171" s="4" t="s">
        <v>111</v>
      </c>
      <c r="AM171" s="4" t="s">
        <v>59</v>
      </c>
    </row>
    <row r="172" spans="1:39" ht="228">
      <c r="A172" s="4" t="s">
        <v>1470</v>
      </c>
      <c r="B172" s="4" t="s">
        <v>1471</v>
      </c>
      <c r="C172" s="4" t="s">
        <v>700</v>
      </c>
      <c r="D172" s="4" t="s">
        <v>1472</v>
      </c>
      <c r="E172" s="4" t="s">
        <v>1473</v>
      </c>
      <c r="F172" s="4" t="s">
        <v>65</v>
      </c>
      <c r="G172" s="4" t="s">
        <v>1474</v>
      </c>
      <c r="H172" s="4" t="s">
        <v>1475</v>
      </c>
      <c r="I172" s="4">
        <v>1500</v>
      </c>
      <c r="J172" s="4">
        <v>1950</v>
      </c>
      <c r="K172" s="4">
        <v>3300</v>
      </c>
      <c r="L172" s="4">
        <v>525</v>
      </c>
      <c r="M172" s="4" t="s">
        <v>48</v>
      </c>
      <c r="N172" s="4" t="s">
        <v>40</v>
      </c>
      <c r="O172" s="4" t="s">
        <v>50</v>
      </c>
      <c r="P172" s="4">
        <v>120</v>
      </c>
      <c r="Q172" s="4" t="s">
        <v>1476</v>
      </c>
      <c r="R172" s="4" t="s">
        <v>1477</v>
      </c>
      <c r="S172" s="4" t="s">
        <v>50</v>
      </c>
      <c r="T172" s="4" t="s">
        <v>50</v>
      </c>
      <c r="U172" s="4" t="s">
        <v>50</v>
      </c>
      <c r="V172" s="4" t="s">
        <v>705</v>
      </c>
      <c r="W172" s="4" t="s">
        <v>54</v>
      </c>
      <c r="X172" s="4" t="s">
        <v>55</v>
      </c>
      <c r="Y172" s="4" t="s">
        <v>69</v>
      </c>
      <c r="Z172" s="4" t="s">
        <v>706</v>
      </c>
      <c r="AA172" s="4">
        <v>10</v>
      </c>
      <c r="AB172" s="4">
        <f>ROUND(I172*(1-AA172/100),-1)</f>
        <v>1350</v>
      </c>
      <c r="AC172" s="4">
        <f t="shared" si="2"/>
        <v>1500</v>
      </c>
      <c r="AD172" s="4">
        <v>13</v>
      </c>
      <c r="AE172" s="4">
        <v>15</v>
      </c>
      <c r="AF172" s="4">
        <v>10</v>
      </c>
      <c r="AG172" s="4">
        <v>26</v>
      </c>
      <c r="AH172" s="4">
        <v>150</v>
      </c>
      <c r="AI172" s="4">
        <f>ROUND(300*I172*(1+AE172/100+AF172/100),0)</f>
        <v>562500</v>
      </c>
      <c r="AJ172" s="4">
        <v>4.5999999999999996</v>
      </c>
      <c r="AK172" s="4">
        <v>193</v>
      </c>
      <c r="AL172" s="4" t="s">
        <v>111</v>
      </c>
      <c r="AM172" s="4" t="s">
        <v>59</v>
      </c>
    </row>
    <row r="173" spans="1:39" ht="228">
      <c r="A173" s="4" t="s">
        <v>1478</v>
      </c>
      <c r="B173" s="4" t="s">
        <v>1479</v>
      </c>
      <c r="C173" s="4" t="s">
        <v>94</v>
      </c>
      <c r="D173" s="4" t="s">
        <v>1480</v>
      </c>
      <c r="E173" s="4" t="s">
        <v>1481</v>
      </c>
      <c r="F173" s="4" t="s">
        <v>65</v>
      </c>
      <c r="G173" s="4" t="s">
        <v>1482</v>
      </c>
      <c r="H173" s="4" t="s">
        <v>1483</v>
      </c>
      <c r="I173" s="4">
        <v>2100</v>
      </c>
      <c r="J173" s="4">
        <v>3000</v>
      </c>
      <c r="K173" s="4">
        <v>4050</v>
      </c>
      <c r="L173" s="4">
        <v>625</v>
      </c>
      <c r="M173" s="4" t="s">
        <v>48</v>
      </c>
      <c r="N173" s="4" t="s">
        <v>40</v>
      </c>
      <c r="O173" s="4" t="s">
        <v>50</v>
      </c>
      <c r="P173" s="4">
        <v>115</v>
      </c>
      <c r="Q173" s="4" t="s">
        <v>1484</v>
      </c>
      <c r="R173" s="4" t="s">
        <v>1485</v>
      </c>
      <c r="S173" s="4" t="s">
        <v>50</v>
      </c>
      <c r="T173" s="4" t="s">
        <v>50</v>
      </c>
      <c r="U173" s="4" t="s">
        <v>50</v>
      </c>
      <c r="V173" s="4" t="s">
        <v>608</v>
      </c>
      <c r="W173" s="4" t="s">
        <v>54</v>
      </c>
      <c r="X173" s="4" t="s">
        <v>55</v>
      </c>
      <c r="Y173" s="4" t="s">
        <v>69</v>
      </c>
      <c r="Z173" s="4" t="s">
        <v>70</v>
      </c>
      <c r="AA173" s="4">
        <v>8</v>
      </c>
      <c r="AB173" s="4">
        <f>ROUND(I173*(1-AA173/100),-1)</f>
        <v>1930</v>
      </c>
      <c r="AC173" s="4">
        <f t="shared" si="2"/>
        <v>2100</v>
      </c>
      <c r="AD173" s="4">
        <v>15</v>
      </c>
      <c r="AE173" s="4">
        <v>15</v>
      </c>
      <c r="AF173" s="4">
        <v>5</v>
      </c>
      <c r="AG173" s="4">
        <v>40</v>
      </c>
      <c r="AH173" s="4">
        <v>175</v>
      </c>
      <c r="AI173" s="4">
        <f>ROUND(300*I173*(1+AE173/100+AF173/100),0)</f>
        <v>756000</v>
      </c>
      <c r="AJ173" s="4">
        <v>4.8</v>
      </c>
      <c r="AK173" s="4">
        <v>72</v>
      </c>
      <c r="AL173" s="4" t="s">
        <v>111</v>
      </c>
      <c r="AM173" s="4" t="s">
        <v>59</v>
      </c>
    </row>
    <row r="174" spans="1:39" ht="228">
      <c r="A174" s="4" t="s">
        <v>1486</v>
      </c>
      <c r="B174" s="4" t="s">
        <v>1487</v>
      </c>
      <c r="C174" s="4" t="s">
        <v>94</v>
      </c>
      <c r="D174" s="4" t="s">
        <v>1488</v>
      </c>
      <c r="E174" s="4" t="s">
        <v>975</v>
      </c>
      <c r="F174" s="4" t="s">
        <v>163</v>
      </c>
      <c r="G174" s="4" t="s">
        <v>1489</v>
      </c>
      <c r="H174" s="4" t="s">
        <v>1490</v>
      </c>
      <c r="I174" s="4">
        <v>2100</v>
      </c>
      <c r="J174" s="4">
        <v>2800</v>
      </c>
      <c r="K174" s="4">
        <v>4400</v>
      </c>
      <c r="L174" s="4">
        <v>750</v>
      </c>
      <c r="M174" s="4" t="s">
        <v>48</v>
      </c>
      <c r="N174" s="4" t="s">
        <v>40</v>
      </c>
      <c r="O174" s="4" t="s">
        <v>50</v>
      </c>
      <c r="P174" s="4">
        <v>150</v>
      </c>
      <c r="Q174" s="4" t="s">
        <v>1491</v>
      </c>
      <c r="R174" s="4" t="s">
        <v>1492</v>
      </c>
      <c r="S174" s="4" t="s">
        <v>50</v>
      </c>
      <c r="T174" s="4" t="s">
        <v>50</v>
      </c>
      <c r="U174" s="4" t="s">
        <v>50</v>
      </c>
      <c r="V174" s="4" t="s">
        <v>1493</v>
      </c>
      <c r="W174" s="4" t="s">
        <v>54</v>
      </c>
      <c r="X174" s="4" t="s">
        <v>55</v>
      </c>
      <c r="Y174" s="4" t="s">
        <v>169</v>
      </c>
      <c r="Z174" s="4" t="s">
        <v>70</v>
      </c>
      <c r="AA174" s="4">
        <v>12</v>
      </c>
      <c r="AB174" s="4">
        <f>ROUND(I174*(1-AA174/100),-1)</f>
        <v>1850</v>
      </c>
      <c r="AC174" s="4">
        <f t="shared" si="2"/>
        <v>2100</v>
      </c>
      <c r="AD174" s="4">
        <v>17</v>
      </c>
      <c r="AE174" s="4">
        <v>15</v>
      </c>
      <c r="AF174" s="4">
        <v>9</v>
      </c>
      <c r="AG174" s="4">
        <v>44</v>
      </c>
      <c r="AH174" s="4">
        <v>250</v>
      </c>
      <c r="AI174" s="4">
        <f>ROUND(300*I174*(1+AE174/100+AF174/100),0)</f>
        <v>781200</v>
      </c>
      <c r="AJ174" s="4">
        <v>4.5999999999999996</v>
      </c>
      <c r="AK174" s="4">
        <v>140</v>
      </c>
      <c r="AL174" s="4" t="s">
        <v>111</v>
      </c>
      <c r="AM174" s="4" t="s">
        <v>59</v>
      </c>
    </row>
    <row r="175" spans="1:39" ht="228">
      <c r="A175" s="4" t="s">
        <v>1494</v>
      </c>
      <c r="B175" s="4" t="s">
        <v>1495</v>
      </c>
      <c r="C175" s="4" t="s">
        <v>94</v>
      </c>
      <c r="D175" s="4" t="s">
        <v>1496</v>
      </c>
      <c r="E175" s="4" t="s">
        <v>1497</v>
      </c>
      <c r="F175" s="4" t="s">
        <v>192</v>
      </c>
      <c r="G175" s="4" t="s">
        <v>1498</v>
      </c>
      <c r="H175" s="4" t="s">
        <v>1499</v>
      </c>
      <c r="I175" s="4">
        <v>1650</v>
      </c>
      <c r="J175" s="4">
        <v>2100</v>
      </c>
      <c r="K175" s="4">
        <v>4000</v>
      </c>
      <c r="L175" s="4">
        <v>675</v>
      </c>
      <c r="M175" s="4" t="s">
        <v>48</v>
      </c>
      <c r="N175" s="4" t="s">
        <v>60</v>
      </c>
      <c r="O175" s="4" t="s">
        <v>50</v>
      </c>
      <c r="P175" s="4">
        <v>135</v>
      </c>
      <c r="Q175" s="4" t="s">
        <v>1500</v>
      </c>
      <c r="R175" s="4" t="s">
        <v>1501</v>
      </c>
      <c r="S175" s="4" t="s">
        <v>50</v>
      </c>
      <c r="T175" s="4" t="s">
        <v>50</v>
      </c>
      <c r="U175" s="4" t="s">
        <v>50</v>
      </c>
      <c r="V175" s="4" t="s">
        <v>1502</v>
      </c>
      <c r="W175" s="4" t="s">
        <v>54</v>
      </c>
      <c r="X175" s="4" t="s">
        <v>55</v>
      </c>
      <c r="Y175" s="4" t="s">
        <v>56</v>
      </c>
      <c r="Z175" s="4" t="s">
        <v>70</v>
      </c>
      <c r="AA175" s="4">
        <v>10</v>
      </c>
      <c r="AB175" s="4">
        <f>ROUND(I175*(1-AA175/100),-1)</f>
        <v>1490</v>
      </c>
      <c r="AC175" s="4">
        <f t="shared" si="2"/>
        <v>1650</v>
      </c>
      <c r="AD175" s="4">
        <v>16</v>
      </c>
      <c r="AE175" s="4">
        <v>15</v>
      </c>
      <c r="AF175" s="4">
        <v>8</v>
      </c>
      <c r="AG175" s="4">
        <v>45</v>
      </c>
      <c r="AH175" s="4">
        <v>200</v>
      </c>
      <c r="AI175" s="4">
        <f>ROUND(300*I175*(1+AE175/100+AF175/100),0)</f>
        <v>608850</v>
      </c>
      <c r="AJ175" s="4">
        <v>3.9</v>
      </c>
      <c r="AK175" s="4">
        <v>808</v>
      </c>
      <c r="AL175" s="4" t="s">
        <v>111</v>
      </c>
      <c r="AM175" s="4" t="s">
        <v>59</v>
      </c>
    </row>
    <row r="176" spans="1:39" ht="228">
      <c r="A176" s="4" t="s">
        <v>1503</v>
      </c>
      <c r="B176" s="4" t="s">
        <v>1504</v>
      </c>
      <c r="C176" s="4" t="s">
        <v>94</v>
      </c>
      <c r="D176" s="4" t="s">
        <v>1505</v>
      </c>
      <c r="E176" s="4" t="s">
        <v>1506</v>
      </c>
      <c r="F176" s="4" t="s">
        <v>282</v>
      </c>
      <c r="G176" s="4" t="s">
        <v>1507</v>
      </c>
      <c r="H176" s="4" t="s">
        <v>1508</v>
      </c>
      <c r="I176" s="4">
        <v>1950</v>
      </c>
      <c r="J176" s="4">
        <v>2450</v>
      </c>
      <c r="K176" s="4">
        <v>3450</v>
      </c>
      <c r="L176" s="4">
        <v>450</v>
      </c>
      <c r="M176" s="4" t="s">
        <v>48</v>
      </c>
      <c r="N176" s="4" t="s">
        <v>40</v>
      </c>
      <c r="O176" s="4" t="s">
        <v>50</v>
      </c>
      <c r="P176" s="4">
        <v>130</v>
      </c>
      <c r="Q176" s="4" t="s">
        <v>1509</v>
      </c>
      <c r="R176" s="4" t="s">
        <v>1510</v>
      </c>
      <c r="S176" s="4" t="s">
        <v>50</v>
      </c>
      <c r="T176" s="4" t="s">
        <v>50</v>
      </c>
      <c r="U176" s="4" t="s">
        <v>50</v>
      </c>
      <c r="V176" s="4" t="s">
        <v>1060</v>
      </c>
      <c r="W176" s="4" t="s">
        <v>54</v>
      </c>
      <c r="X176" s="4" t="s">
        <v>55</v>
      </c>
      <c r="Y176" s="4" t="s">
        <v>69</v>
      </c>
      <c r="Z176" s="4" t="s">
        <v>70</v>
      </c>
      <c r="AA176" s="4">
        <v>5</v>
      </c>
      <c r="AB176" s="4">
        <f>ROUND(I176*(1-AA176/100),-1)</f>
        <v>1850</v>
      </c>
      <c r="AC176" s="4">
        <f t="shared" si="2"/>
        <v>1950</v>
      </c>
      <c r="AD176" s="4">
        <v>22</v>
      </c>
      <c r="AE176" s="4">
        <v>15</v>
      </c>
      <c r="AF176" s="4">
        <v>9</v>
      </c>
      <c r="AG176" s="4">
        <v>43</v>
      </c>
      <c r="AH176" s="4">
        <v>125</v>
      </c>
      <c r="AI176" s="4">
        <f>ROUND(300*I176*(1+AE176/100+AF176/100),0)</f>
        <v>725400</v>
      </c>
      <c r="AJ176" s="4">
        <v>4.5999999999999996</v>
      </c>
      <c r="AK176" s="4">
        <v>348</v>
      </c>
      <c r="AL176" s="4" t="s">
        <v>58</v>
      </c>
      <c r="AM176" s="4" t="s">
        <v>59</v>
      </c>
    </row>
    <row r="177" spans="1:39" ht="256.5">
      <c r="A177" s="4" t="s">
        <v>1511</v>
      </c>
      <c r="B177" s="4" t="s">
        <v>1512</v>
      </c>
      <c r="C177" s="4" t="s">
        <v>72</v>
      </c>
      <c r="D177" s="4" t="s">
        <v>1513</v>
      </c>
      <c r="E177" s="4" t="s">
        <v>1514</v>
      </c>
      <c r="F177" s="4" t="s">
        <v>192</v>
      </c>
      <c r="G177" s="4" t="s">
        <v>1515</v>
      </c>
      <c r="H177" s="4" t="s">
        <v>1516</v>
      </c>
      <c r="I177" s="4">
        <v>2350</v>
      </c>
      <c r="J177" s="4">
        <v>3050</v>
      </c>
      <c r="K177" s="4">
        <v>4900</v>
      </c>
      <c r="L177" s="4">
        <v>925</v>
      </c>
      <c r="M177" s="4" t="s">
        <v>40</v>
      </c>
      <c r="N177" s="4" t="s">
        <v>49</v>
      </c>
      <c r="O177" s="4" t="s">
        <v>50</v>
      </c>
      <c r="P177" s="4">
        <v>220</v>
      </c>
      <c r="Q177" s="4" t="s">
        <v>1517</v>
      </c>
      <c r="R177" s="4" t="s">
        <v>1518</v>
      </c>
      <c r="S177" s="4" t="s">
        <v>50</v>
      </c>
      <c r="T177" s="4" t="s">
        <v>50</v>
      </c>
      <c r="U177" s="4" t="s">
        <v>50</v>
      </c>
      <c r="V177" s="4" t="s">
        <v>517</v>
      </c>
      <c r="W177" s="4" t="s">
        <v>54</v>
      </c>
      <c r="X177" s="4" t="s">
        <v>55</v>
      </c>
      <c r="Y177" s="4" t="s">
        <v>81</v>
      </c>
      <c r="Z177" s="4" t="s">
        <v>57</v>
      </c>
      <c r="AA177" s="4">
        <v>11</v>
      </c>
      <c r="AB177" s="4">
        <f>ROUND(I177*(1-AA177/100),-1)</f>
        <v>2090</v>
      </c>
      <c r="AC177" s="4">
        <f t="shared" si="2"/>
        <v>2350</v>
      </c>
      <c r="AD177" s="4">
        <v>20</v>
      </c>
      <c r="AE177" s="4">
        <v>15</v>
      </c>
      <c r="AF177" s="4">
        <v>10</v>
      </c>
      <c r="AG177" s="4">
        <v>47</v>
      </c>
      <c r="AH177" s="4">
        <v>300</v>
      </c>
      <c r="AI177" s="4">
        <f>ROUND(300*I177*(1+AE177/100+AF177/100),0)</f>
        <v>881250</v>
      </c>
      <c r="AJ177" s="4">
        <v>4.7</v>
      </c>
      <c r="AK177" s="4">
        <v>491</v>
      </c>
      <c r="AL177" s="4" t="s">
        <v>111</v>
      </c>
      <c r="AM177" s="4" t="s">
        <v>59</v>
      </c>
    </row>
    <row r="178" spans="1:39" ht="256.5">
      <c r="A178" s="4" t="s">
        <v>1519</v>
      </c>
      <c r="B178" s="4" t="s">
        <v>1520</v>
      </c>
      <c r="C178" s="4" t="s">
        <v>72</v>
      </c>
      <c r="D178" s="4" t="s">
        <v>1521</v>
      </c>
      <c r="E178" s="4" t="s">
        <v>1522</v>
      </c>
      <c r="F178" s="4" t="s">
        <v>75</v>
      </c>
      <c r="G178" s="4" t="s">
        <v>1523</v>
      </c>
      <c r="H178" s="4" t="s">
        <v>1524</v>
      </c>
      <c r="I178" s="4">
        <v>2300</v>
      </c>
      <c r="J178" s="4">
        <v>3150</v>
      </c>
      <c r="K178" s="4">
        <v>4800</v>
      </c>
      <c r="L178" s="4">
        <v>1025</v>
      </c>
      <c r="M178" s="4" t="s">
        <v>40</v>
      </c>
      <c r="N178" s="4" t="s">
        <v>49</v>
      </c>
      <c r="O178" s="4" t="s">
        <v>50</v>
      </c>
      <c r="P178" s="4">
        <v>220</v>
      </c>
      <c r="Q178" s="4" t="s">
        <v>1525</v>
      </c>
      <c r="R178" s="4" t="s">
        <v>1526</v>
      </c>
      <c r="S178" s="4" t="s">
        <v>50</v>
      </c>
      <c r="T178" s="4" t="s">
        <v>50</v>
      </c>
      <c r="U178" s="4" t="s">
        <v>50</v>
      </c>
      <c r="V178" s="4" t="s">
        <v>139</v>
      </c>
      <c r="W178" s="4" t="s">
        <v>54</v>
      </c>
      <c r="X178" s="4" t="s">
        <v>55</v>
      </c>
      <c r="Y178" s="4" t="s">
        <v>81</v>
      </c>
      <c r="Z178" s="4" t="s">
        <v>57</v>
      </c>
      <c r="AA178" s="4">
        <v>12</v>
      </c>
      <c r="AB178" s="4">
        <f>ROUND(I178*(1-AA178/100),-1)</f>
        <v>2020</v>
      </c>
      <c r="AC178" s="4">
        <f t="shared" si="2"/>
        <v>2300</v>
      </c>
      <c r="AD178" s="4">
        <v>15</v>
      </c>
      <c r="AE178" s="4">
        <v>15</v>
      </c>
      <c r="AF178" s="4">
        <v>9</v>
      </c>
      <c r="AG178" s="4">
        <v>50</v>
      </c>
      <c r="AH178" s="4">
        <v>300</v>
      </c>
      <c r="AI178" s="4">
        <f>ROUND(300*I178*(1+AE178/100+AF178/100),0)</f>
        <v>855600</v>
      </c>
      <c r="AJ178" s="4">
        <v>4.2</v>
      </c>
      <c r="AK178" s="4">
        <v>447</v>
      </c>
      <c r="AL178" s="4" t="s">
        <v>111</v>
      </c>
      <c r="AM178" s="4" t="s">
        <v>59</v>
      </c>
    </row>
    <row r="179" spans="1:39" ht="256.5">
      <c r="A179" s="4" t="s">
        <v>1527</v>
      </c>
      <c r="B179" s="4" t="s">
        <v>1528</v>
      </c>
      <c r="C179" s="4" t="s">
        <v>72</v>
      </c>
      <c r="D179" s="4" t="s">
        <v>1529</v>
      </c>
      <c r="E179" s="4" t="s">
        <v>1530</v>
      </c>
      <c r="F179" s="4" t="s">
        <v>192</v>
      </c>
      <c r="G179" s="4" t="s">
        <v>1531</v>
      </c>
      <c r="H179" s="4" t="s">
        <v>1532</v>
      </c>
      <c r="I179" s="4">
        <v>2450</v>
      </c>
      <c r="J179" s="4">
        <v>3350</v>
      </c>
      <c r="K179" s="4">
        <v>4400</v>
      </c>
      <c r="L179" s="4">
        <v>900</v>
      </c>
      <c r="M179" s="4" t="s">
        <v>40</v>
      </c>
      <c r="N179" s="4" t="s">
        <v>49</v>
      </c>
      <c r="O179" s="4" t="s">
        <v>50</v>
      </c>
      <c r="P179" s="4">
        <v>230</v>
      </c>
      <c r="Q179" s="4" t="s">
        <v>1533</v>
      </c>
      <c r="R179" s="4" t="s">
        <v>1534</v>
      </c>
      <c r="S179" s="4" t="s">
        <v>50</v>
      </c>
      <c r="T179" s="4" t="s">
        <v>50</v>
      </c>
      <c r="U179" s="4" t="s">
        <v>50</v>
      </c>
      <c r="V179" s="4" t="s">
        <v>517</v>
      </c>
      <c r="W179" s="4" t="s">
        <v>54</v>
      </c>
      <c r="X179" s="4" t="s">
        <v>55</v>
      </c>
      <c r="Y179" s="4" t="s">
        <v>81</v>
      </c>
      <c r="Z179" s="4" t="s">
        <v>57</v>
      </c>
      <c r="AA179" s="4">
        <v>6</v>
      </c>
      <c r="AB179" s="4">
        <f>ROUND(I179*(1-AA179/100),-1)</f>
        <v>2300</v>
      </c>
      <c r="AC179" s="4">
        <f t="shared" si="2"/>
        <v>2450</v>
      </c>
      <c r="AD179" s="4">
        <v>13</v>
      </c>
      <c r="AE179" s="4">
        <v>15</v>
      </c>
      <c r="AF179" s="4">
        <v>8</v>
      </c>
      <c r="AG179" s="4">
        <v>49</v>
      </c>
      <c r="AH179" s="4">
        <v>325</v>
      </c>
      <c r="AI179" s="4">
        <f>ROUND(300*I179*(1+AE179/100+AF179/100),0)</f>
        <v>904050</v>
      </c>
      <c r="AJ179" s="4">
        <v>4.4000000000000004</v>
      </c>
      <c r="AK179" s="4">
        <v>299</v>
      </c>
      <c r="AL179" s="4" t="s">
        <v>111</v>
      </c>
      <c r="AM179" s="4" t="s">
        <v>59</v>
      </c>
    </row>
    <row r="180" spans="1:39" ht="228">
      <c r="A180" s="4" t="s">
        <v>1535</v>
      </c>
      <c r="B180" s="4" t="s">
        <v>1536</v>
      </c>
      <c r="C180" s="4" t="s">
        <v>72</v>
      </c>
      <c r="D180" s="4" t="s">
        <v>1537</v>
      </c>
      <c r="E180" s="4" t="s">
        <v>1538</v>
      </c>
      <c r="F180" s="4" t="s">
        <v>282</v>
      </c>
      <c r="G180" s="4" t="s">
        <v>1539</v>
      </c>
      <c r="H180" s="4" t="s">
        <v>1540</v>
      </c>
      <c r="I180" s="4">
        <v>2600</v>
      </c>
      <c r="J180" s="4">
        <v>3150</v>
      </c>
      <c r="K180" s="4">
        <v>4350</v>
      </c>
      <c r="L180" s="4">
        <v>625</v>
      </c>
      <c r="M180" s="4" t="s">
        <v>48</v>
      </c>
      <c r="N180" s="4" t="s">
        <v>40</v>
      </c>
      <c r="O180" s="4" t="s">
        <v>50</v>
      </c>
      <c r="P180" s="4">
        <v>175</v>
      </c>
      <c r="Q180" s="4" t="s">
        <v>1541</v>
      </c>
      <c r="R180" s="4" t="s">
        <v>1542</v>
      </c>
      <c r="S180" s="4" t="s">
        <v>50</v>
      </c>
      <c r="T180" s="4" t="s">
        <v>50</v>
      </c>
      <c r="U180" s="4" t="s">
        <v>50</v>
      </c>
      <c r="V180" s="4" t="s">
        <v>1288</v>
      </c>
      <c r="W180" s="4" t="s">
        <v>54</v>
      </c>
      <c r="X180" s="4" t="s">
        <v>55</v>
      </c>
      <c r="Y180" s="4" t="s">
        <v>69</v>
      </c>
      <c r="Z180" s="4" t="s">
        <v>57</v>
      </c>
      <c r="AA180" s="4">
        <v>11</v>
      </c>
      <c r="AB180" s="4">
        <f>ROUND(I180*(1-AA180/100),-1)</f>
        <v>2310</v>
      </c>
      <c r="AC180" s="4">
        <f t="shared" si="2"/>
        <v>2600</v>
      </c>
      <c r="AD180" s="4">
        <v>16</v>
      </c>
      <c r="AE180" s="4">
        <v>15</v>
      </c>
      <c r="AF180" s="4">
        <v>10</v>
      </c>
      <c r="AG180" s="4">
        <v>40</v>
      </c>
      <c r="AH180" s="4">
        <v>250</v>
      </c>
      <c r="AI180" s="4">
        <f>ROUND(300*I180*(1+AE180/100+AF180/100),0)</f>
        <v>975000</v>
      </c>
      <c r="AJ180" s="4">
        <v>4.3</v>
      </c>
      <c r="AK180" s="4">
        <v>761</v>
      </c>
      <c r="AL180" s="4" t="s">
        <v>111</v>
      </c>
      <c r="AM180" s="4" t="s">
        <v>59</v>
      </c>
    </row>
    <row r="181" spans="1:39" ht="228">
      <c r="A181" s="4" t="s">
        <v>1543</v>
      </c>
      <c r="B181" s="4" t="s">
        <v>1544</v>
      </c>
      <c r="C181" s="4" t="s">
        <v>94</v>
      </c>
      <c r="D181" s="4" t="s">
        <v>1545</v>
      </c>
      <c r="E181" s="4" t="s">
        <v>829</v>
      </c>
      <c r="F181" s="4" t="s">
        <v>45</v>
      </c>
      <c r="G181" s="4" t="s">
        <v>1546</v>
      </c>
      <c r="H181" s="4" t="s">
        <v>1547</v>
      </c>
      <c r="I181" s="4">
        <v>1800</v>
      </c>
      <c r="J181" s="4">
        <v>2650</v>
      </c>
      <c r="K181" s="4">
        <v>3900</v>
      </c>
      <c r="L181" s="4">
        <v>525</v>
      </c>
      <c r="M181" s="4" t="s">
        <v>48</v>
      </c>
      <c r="N181" s="4" t="s">
        <v>40</v>
      </c>
      <c r="O181" s="4" t="s">
        <v>50</v>
      </c>
      <c r="P181" s="4">
        <v>110</v>
      </c>
      <c r="Q181" s="4" t="s">
        <v>1548</v>
      </c>
      <c r="R181" s="4" t="s">
        <v>1549</v>
      </c>
      <c r="S181" s="4" t="s">
        <v>50</v>
      </c>
      <c r="T181" s="4" t="s">
        <v>50</v>
      </c>
      <c r="U181" s="4" t="s">
        <v>50</v>
      </c>
      <c r="V181" s="4" t="s">
        <v>834</v>
      </c>
      <c r="W181" s="4" t="s">
        <v>54</v>
      </c>
      <c r="X181" s="4" t="s">
        <v>55</v>
      </c>
      <c r="Y181" s="4" t="s">
        <v>69</v>
      </c>
      <c r="Z181" s="4" t="s">
        <v>70</v>
      </c>
      <c r="AA181" s="4">
        <v>12</v>
      </c>
      <c r="AB181" s="4">
        <f>ROUND(I181*(1-AA181/100),-1)</f>
        <v>1580</v>
      </c>
      <c r="AC181" s="4">
        <f t="shared" si="2"/>
        <v>1800</v>
      </c>
      <c r="AD181" s="4">
        <v>18</v>
      </c>
      <c r="AE181" s="4">
        <v>15</v>
      </c>
      <c r="AF181" s="4">
        <v>5</v>
      </c>
      <c r="AG181" s="4">
        <v>32</v>
      </c>
      <c r="AH181" s="4">
        <v>200</v>
      </c>
      <c r="AI181" s="4">
        <f>ROUND(300*I181*(1+AE181/100+AF181/100),0)</f>
        <v>648000</v>
      </c>
      <c r="AJ181" s="4">
        <v>3.9</v>
      </c>
      <c r="AK181" s="4">
        <v>490</v>
      </c>
      <c r="AL181" s="4" t="s">
        <v>111</v>
      </c>
      <c r="AM181" s="4" t="s">
        <v>59</v>
      </c>
    </row>
    <row r="182" spans="1:39" ht="256.5">
      <c r="A182" s="4" t="s">
        <v>1550</v>
      </c>
      <c r="B182" s="4" t="s">
        <v>1551</v>
      </c>
      <c r="C182" s="4" t="s">
        <v>72</v>
      </c>
      <c r="D182" s="4" t="s">
        <v>1552</v>
      </c>
      <c r="E182" s="4" t="s">
        <v>1553</v>
      </c>
      <c r="F182" s="4" t="s">
        <v>65</v>
      </c>
      <c r="G182" s="4" t="s">
        <v>1554</v>
      </c>
      <c r="H182" s="4" t="s">
        <v>1555</v>
      </c>
      <c r="I182" s="4">
        <v>2250</v>
      </c>
      <c r="J182" s="4">
        <v>3200</v>
      </c>
      <c r="K182" s="4">
        <v>4950</v>
      </c>
      <c r="L182" s="4">
        <v>875</v>
      </c>
      <c r="M182" s="4" t="s">
        <v>40</v>
      </c>
      <c r="N182" s="4" t="s">
        <v>60</v>
      </c>
      <c r="O182" s="4" t="s">
        <v>50</v>
      </c>
      <c r="P182" s="4">
        <v>220</v>
      </c>
      <c r="Q182" s="4" t="s">
        <v>1556</v>
      </c>
      <c r="R182" s="4" t="s">
        <v>1557</v>
      </c>
      <c r="S182" s="4" t="s">
        <v>50</v>
      </c>
      <c r="T182" s="4" t="s">
        <v>50</v>
      </c>
      <c r="U182" s="4" t="s">
        <v>50</v>
      </c>
      <c r="V182" s="4" t="s">
        <v>1558</v>
      </c>
      <c r="W182" s="4" t="s">
        <v>54</v>
      </c>
      <c r="X182" s="4" t="s">
        <v>55</v>
      </c>
      <c r="Y182" s="4" t="s">
        <v>81</v>
      </c>
      <c r="Z182" s="4" t="s">
        <v>57</v>
      </c>
      <c r="AA182" s="4">
        <v>7</v>
      </c>
      <c r="AB182" s="4">
        <f>ROUND(I182*(1-AA182/100),-1)</f>
        <v>2090</v>
      </c>
      <c r="AC182" s="4">
        <f t="shared" si="2"/>
        <v>2250</v>
      </c>
      <c r="AD182" s="4">
        <v>15</v>
      </c>
      <c r="AE182" s="4">
        <v>15</v>
      </c>
      <c r="AF182" s="4">
        <v>6</v>
      </c>
      <c r="AG182" s="4">
        <v>42</v>
      </c>
      <c r="AH182" s="4">
        <v>250</v>
      </c>
      <c r="AI182" s="4">
        <f>ROUND(300*I182*(1+AE182/100+AF182/100),0)</f>
        <v>816750</v>
      </c>
      <c r="AJ182" s="4">
        <v>4.0999999999999996</v>
      </c>
      <c r="AK182" s="4">
        <v>229</v>
      </c>
      <c r="AL182" s="4" t="s">
        <v>111</v>
      </c>
      <c r="AM182" s="4" t="s">
        <v>59</v>
      </c>
    </row>
    <row r="183" spans="1:39" ht="256.5">
      <c r="A183" s="4" t="s">
        <v>1559</v>
      </c>
      <c r="B183" s="4" t="s">
        <v>1560</v>
      </c>
      <c r="C183" s="4" t="s">
        <v>72</v>
      </c>
      <c r="D183" s="4" t="s">
        <v>1561</v>
      </c>
      <c r="E183" s="4" t="s">
        <v>1562</v>
      </c>
      <c r="F183" s="4" t="s">
        <v>282</v>
      </c>
      <c r="G183" s="4" t="s">
        <v>1563</v>
      </c>
      <c r="H183" s="4" t="s">
        <v>1564</v>
      </c>
      <c r="I183" s="4">
        <v>3000</v>
      </c>
      <c r="J183" s="4">
        <v>3600</v>
      </c>
      <c r="K183" s="4">
        <v>5350</v>
      </c>
      <c r="L183" s="4">
        <v>975</v>
      </c>
      <c r="M183" s="4" t="s">
        <v>40</v>
      </c>
      <c r="N183" s="4" t="s">
        <v>60</v>
      </c>
      <c r="O183" s="4" t="s">
        <v>50</v>
      </c>
      <c r="P183" s="4">
        <v>285</v>
      </c>
      <c r="Q183" s="4" t="s">
        <v>1565</v>
      </c>
      <c r="R183" s="4" t="s">
        <v>1566</v>
      </c>
      <c r="S183" s="4" t="s">
        <v>50</v>
      </c>
      <c r="T183" s="4" t="s">
        <v>50</v>
      </c>
      <c r="U183" s="4" t="s">
        <v>50</v>
      </c>
      <c r="V183" s="4" t="s">
        <v>1567</v>
      </c>
      <c r="W183" s="4" t="s">
        <v>54</v>
      </c>
      <c r="X183" s="4" t="s">
        <v>55</v>
      </c>
      <c r="Y183" s="4" t="s">
        <v>81</v>
      </c>
      <c r="Z183" s="4" t="s">
        <v>57</v>
      </c>
      <c r="AA183" s="4">
        <v>10</v>
      </c>
      <c r="AB183" s="4">
        <f>ROUND(I183*(1-AA183/100),-1)</f>
        <v>2700</v>
      </c>
      <c r="AC183" s="4">
        <f t="shared" si="2"/>
        <v>3000</v>
      </c>
      <c r="AD183" s="4">
        <v>19</v>
      </c>
      <c r="AE183" s="4">
        <v>15</v>
      </c>
      <c r="AF183" s="4">
        <v>9</v>
      </c>
      <c r="AG183" s="4">
        <v>47</v>
      </c>
      <c r="AH183" s="4">
        <v>300</v>
      </c>
      <c r="AI183" s="4">
        <f>ROUND(300*I183*(1+AE183/100+AF183/100),0)</f>
        <v>1116000</v>
      </c>
      <c r="AJ183" s="4">
        <v>4.0999999999999996</v>
      </c>
      <c r="AK183" s="4">
        <v>106</v>
      </c>
      <c r="AL183" s="4" t="s">
        <v>111</v>
      </c>
      <c r="AM183" s="4" t="s">
        <v>59</v>
      </c>
    </row>
    <row r="184" spans="1:39" ht="256.5">
      <c r="A184" s="4" t="s">
        <v>1568</v>
      </c>
      <c r="B184" s="4" t="s">
        <v>1569</v>
      </c>
      <c r="C184" s="4" t="s">
        <v>72</v>
      </c>
      <c r="D184" s="4" t="s">
        <v>1570</v>
      </c>
      <c r="E184" s="4" t="s">
        <v>1571</v>
      </c>
      <c r="F184" s="4" t="s">
        <v>445</v>
      </c>
      <c r="G184" s="4" t="s">
        <v>1572</v>
      </c>
      <c r="H184" s="4" t="s">
        <v>1573</v>
      </c>
      <c r="I184" s="4">
        <v>2500</v>
      </c>
      <c r="J184" s="4">
        <v>3450</v>
      </c>
      <c r="K184" s="4">
        <v>5350</v>
      </c>
      <c r="L184" s="4">
        <v>975</v>
      </c>
      <c r="M184" s="4" t="s">
        <v>40</v>
      </c>
      <c r="N184" s="4" t="s">
        <v>60</v>
      </c>
      <c r="O184" s="4" t="s">
        <v>50</v>
      </c>
      <c r="P184" s="4">
        <v>195</v>
      </c>
      <c r="Q184" s="4" t="s">
        <v>423</v>
      </c>
      <c r="R184" s="4" t="s">
        <v>1574</v>
      </c>
      <c r="S184" s="4" t="s">
        <v>50</v>
      </c>
      <c r="T184" s="4" t="s">
        <v>50</v>
      </c>
      <c r="U184" s="4" t="s">
        <v>50</v>
      </c>
      <c r="V184" s="4" t="s">
        <v>1575</v>
      </c>
      <c r="W184" s="4" t="s">
        <v>54</v>
      </c>
      <c r="X184" s="4" t="s">
        <v>55</v>
      </c>
      <c r="Y184" s="4" t="s">
        <v>81</v>
      </c>
      <c r="Z184" s="4" t="s">
        <v>57</v>
      </c>
      <c r="AA184" s="4">
        <v>11</v>
      </c>
      <c r="AB184" s="4">
        <f>ROUND(I184*(1-AA184/100),-1)</f>
        <v>2230</v>
      </c>
      <c r="AC184" s="4">
        <f t="shared" si="2"/>
        <v>2500</v>
      </c>
      <c r="AD184" s="4">
        <v>20</v>
      </c>
      <c r="AE184" s="4">
        <v>15</v>
      </c>
      <c r="AF184" s="4">
        <v>10</v>
      </c>
      <c r="AG184" s="4">
        <v>40</v>
      </c>
      <c r="AH184" s="4">
        <v>350</v>
      </c>
      <c r="AI184" s="4">
        <f>ROUND(300*I184*(1+AE184/100+AF184/100),0)</f>
        <v>937500</v>
      </c>
      <c r="AJ184" s="4">
        <v>4.7</v>
      </c>
      <c r="AK184" s="4">
        <v>396</v>
      </c>
      <c r="AL184" s="4" t="s">
        <v>111</v>
      </c>
      <c r="AM184" s="4" t="s">
        <v>59</v>
      </c>
    </row>
    <row r="185" spans="1:39" ht="213.75">
      <c r="A185" s="4" t="s">
        <v>1576</v>
      </c>
      <c r="B185" s="4" t="s">
        <v>1577</v>
      </c>
      <c r="C185" s="4" t="s">
        <v>94</v>
      </c>
      <c r="D185" s="4" t="s">
        <v>1578</v>
      </c>
      <c r="E185" s="4" t="s">
        <v>1579</v>
      </c>
      <c r="F185" s="4" t="s">
        <v>75</v>
      </c>
      <c r="G185" s="4" t="s">
        <v>1580</v>
      </c>
      <c r="H185" s="4" t="s">
        <v>1581</v>
      </c>
      <c r="I185" s="4">
        <v>2150</v>
      </c>
      <c r="J185" s="4">
        <v>2750</v>
      </c>
      <c r="K185" s="4">
        <v>4500</v>
      </c>
      <c r="L185" s="4">
        <v>325</v>
      </c>
      <c r="M185" s="4" t="s">
        <v>48</v>
      </c>
      <c r="N185" s="4" t="s">
        <v>40</v>
      </c>
      <c r="O185" s="4" t="s">
        <v>50</v>
      </c>
      <c r="P185" s="4">
        <v>70</v>
      </c>
      <c r="Q185" s="4" t="s">
        <v>1582</v>
      </c>
      <c r="R185" s="4" t="s">
        <v>1583</v>
      </c>
      <c r="S185" s="4" t="s">
        <v>50</v>
      </c>
      <c r="T185" s="4" t="s">
        <v>50</v>
      </c>
      <c r="U185" s="4" t="s">
        <v>50</v>
      </c>
      <c r="V185" s="4" t="s">
        <v>187</v>
      </c>
      <c r="W185" s="4" t="s">
        <v>54</v>
      </c>
      <c r="X185" s="4" t="s">
        <v>55</v>
      </c>
      <c r="Y185" s="4" t="s">
        <v>69</v>
      </c>
      <c r="Z185" s="4" t="s">
        <v>70</v>
      </c>
      <c r="AA185" s="4">
        <v>6</v>
      </c>
      <c r="AB185" s="4">
        <f>ROUND(I185*(1-AA185/100),-1)</f>
        <v>2020</v>
      </c>
      <c r="AC185" s="4">
        <f t="shared" si="2"/>
        <v>2150</v>
      </c>
      <c r="AD185" s="4">
        <v>13</v>
      </c>
      <c r="AE185" s="4">
        <v>15</v>
      </c>
      <c r="AF185" s="4">
        <v>6</v>
      </c>
      <c r="AG185" s="4">
        <v>35</v>
      </c>
      <c r="AH185" s="4">
        <v>100</v>
      </c>
      <c r="AI185" s="4">
        <f>ROUND(300*I185*(1+AE185/100+AF185/100),0)</f>
        <v>780450</v>
      </c>
      <c r="AJ185" s="4">
        <v>4.0999999999999996</v>
      </c>
      <c r="AK185" s="4">
        <v>580</v>
      </c>
      <c r="AL185" s="4" t="s">
        <v>111</v>
      </c>
      <c r="AM185" s="4" t="s">
        <v>59</v>
      </c>
    </row>
    <row r="186" spans="1:39" ht="228">
      <c r="A186" s="4" t="s">
        <v>1584</v>
      </c>
      <c r="B186" s="4" t="s">
        <v>1585</v>
      </c>
      <c r="C186" s="4" t="s">
        <v>72</v>
      </c>
      <c r="D186" s="4" t="s">
        <v>1586</v>
      </c>
      <c r="E186" s="4" t="s">
        <v>1587</v>
      </c>
      <c r="F186" s="4" t="s">
        <v>75</v>
      </c>
      <c r="G186" s="4" t="s">
        <v>1588</v>
      </c>
      <c r="H186" s="4" t="s">
        <v>1589</v>
      </c>
      <c r="I186" s="4">
        <v>2300</v>
      </c>
      <c r="J186" s="4">
        <v>2800</v>
      </c>
      <c r="K186" s="4">
        <v>4550</v>
      </c>
      <c r="L186" s="4">
        <v>550</v>
      </c>
      <c r="M186" s="4" t="s">
        <v>48</v>
      </c>
      <c r="N186" s="4" t="s">
        <v>40</v>
      </c>
      <c r="O186" s="4" t="s">
        <v>50</v>
      </c>
      <c r="P186" s="4">
        <v>120</v>
      </c>
      <c r="Q186" s="4" t="s">
        <v>1590</v>
      </c>
      <c r="R186" s="4" t="s">
        <v>1591</v>
      </c>
      <c r="S186" s="4" t="s">
        <v>50</v>
      </c>
      <c r="T186" s="4" t="s">
        <v>50</v>
      </c>
      <c r="U186" s="4" t="s">
        <v>50</v>
      </c>
      <c r="V186" s="4" t="s">
        <v>206</v>
      </c>
      <c r="W186" s="4" t="s">
        <v>54</v>
      </c>
      <c r="X186" s="4" t="s">
        <v>55</v>
      </c>
      <c r="Y186" s="4" t="s">
        <v>69</v>
      </c>
      <c r="Z186" s="4" t="s">
        <v>57</v>
      </c>
      <c r="AA186" s="4">
        <v>11</v>
      </c>
      <c r="AB186" s="4">
        <f>ROUND(I186*(1-AA186/100),-1)</f>
        <v>2050</v>
      </c>
      <c r="AC186" s="4">
        <f t="shared" si="2"/>
        <v>2300</v>
      </c>
      <c r="AD186" s="4">
        <v>21</v>
      </c>
      <c r="AE186" s="4">
        <v>15</v>
      </c>
      <c r="AF186" s="4">
        <v>7</v>
      </c>
      <c r="AG186" s="4">
        <v>40</v>
      </c>
      <c r="AH186" s="4">
        <v>150</v>
      </c>
      <c r="AI186" s="4">
        <f>ROUND(300*I186*(1+AE186/100+AF186/100),0)</f>
        <v>841800</v>
      </c>
      <c r="AJ186" s="4">
        <v>4.7</v>
      </c>
      <c r="AK186" s="4">
        <v>730</v>
      </c>
      <c r="AL186" s="4" t="s">
        <v>111</v>
      </c>
      <c r="AM186" s="4" t="s">
        <v>59</v>
      </c>
    </row>
    <row r="187" spans="1:39" ht="213.75">
      <c r="A187" s="4" t="s">
        <v>1592</v>
      </c>
      <c r="B187" s="4" t="s">
        <v>1593</v>
      </c>
      <c r="C187" s="4" t="s">
        <v>72</v>
      </c>
      <c r="D187" s="4" t="s">
        <v>1594</v>
      </c>
      <c r="E187" s="4" t="s">
        <v>1595</v>
      </c>
      <c r="F187" s="4" t="s">
        <v>75</v>
      </c>
      <c r="G187" s="4" t="s">
        <v>1596</v>
      </c>
      <c r="H187" s="4" t="s">
        <v>1597</v>
      </c>
      <c r="I187" s="4">
        <v>2250</v>
      </c>
      <c r="J187" s="4">
        <v>3150</v>
      </c>
      <c r="K187" s="4">
        <v>4250</v>
      </c>
      <c r="L187" s="4">
        <v>325</v>
      </c>
      <c r="M187" s="4" t="s">
        <v>48</v>
      </c>
      <c r="N187" s="4" t="s">
        <v>40</v>
      </c>
      <c r="O187" s="4" t="s">
        <v>50</v>
      </c>
      <c r="P187" s="4">
        <v>65</v>
      </c>
      <c r="Q187" s="4" t="s">
        <v>1598</v>
      </c>
      <c r="R187" s="4" t="s">
        <v>1599</v>
      </c>
      <c r="S187" s="4" t="s">
        <v>50</v>
      </c>
      <c r="T187" s="4" t="s">
        <v>50</v>
      </c>
      <c r="U187" s="4" t="s">
        <v>50</v>
      </c>
      <c r="V187" s="4" t="s">
        <v>206</v>
      </c>
      <c r="W187" s="4" t="s">
        <v>54</v>
      </c>
      <c r="X187" s="4" t="s">
        <v>55</v>
      </c>
      <c r="Y187" s="4" t="s">
        <v>69</v>
      </c>
      <c r="Z187" s="4" t="s">
        <v>57</v>
      </c>
      <c r="AA187" s="4">
        <v>5</v>
      </c>
      <c r="AB187" s="4">
        <f>ROUND(I187*(1-AA187/100),-1)</f>
        <v>2140</v>
      </c>
      <c r="AC187" s="4">
        <f t="shared" si="2"/>
        <v>2250</v>
      </c>
      <c r="AD187" s="4">
        <v>14</v>
      </c>
      <c r="AE187" s="4">
        <v>15</v>
      </c>
      <c r="AF187" s="4">
        <v>5</v>
      </c>
      <c r="AG187" s="4">
        <v>44</v>
      </c>
      <c r="AH187" s="4">
        <v>100</v>
      </c>
      <c r="AI187" s="4">
        <f>ROUND(300*I187*(1+AE187/100+AF187/100),0)</f>
        <v>810000</v>
      </c>
      <c r="AJ187" s="4">
        <v>4.7</v>
      </c>
      <c r="AK187" s="4">
        <v>436</v>
      </c>
      <c r="AL187" s="4" t="s">
        <v>111</v>
      </c>
      <c r="AM187" s="4" t="s">
        <v>59</v>
      </c>
    </row>
    <row r="188" spans="1:39" ht="228">
      <c r="A188" s="4" t="s">
        <v>1600</v>
      </c>
      <c r="B188" s="4" t="s">
        <v>1601</v>
      </c>
      <c r="C188" s="4" t="s">
        <v>72</v>
      </c>
      <c r="D188" s="4" t="s">
        <v>1602</v>
      </c>
      <c r="E188" s="4" t="s">
        <v>1603</v>
      </c>
      <c r="F188" s="4" t="s">
        <v>282</v>
      </c>
      <c r="G188" s="4" t="s">
        <v>1604</v>
      </c>
      <c r="H188" s="4" t="s">
        <v>1605</v>
      </c>
      <c r="I188" s="4">
        <v>2350</v>
      </c>
      <c r="J188" s="4">
        <v>2800</v>
      </c>
      <c r="K188" s="4">
        <v>3900</v>
      </c>
      <c r="L188" s="4">
        <v>700</v>
      </c>
      <c r="M188" s="4" t="s">
        <v>48</v>
      </c>
      <c r="N188" s="4" t="s">
        <v>40</v>
      </c>
      <c r="O188" s="4" t="s">
        <v>50</v>
      </c>
      <c r="P188" s="4">
        <v>195</v>
      </c>
      <c r="Q188" s="4" t="s">
        <v>1606</v>
      </c>
      <c r="R188" s="4" t="s">
        <v>1607</v>
      </c>
      <c r="S188" s="4" t="s">
        <v>50</v>
      </c>
      <c r="T188" s="4" t="s">
        <v>50</v>
      </c>
      <c r="U188" s="4" t="s">
        <v>50</v>
      </c>
      <c r="V188" s="4" t="s">
        <v>1288</v>
      </c>
      <c r="W188" s="4" t="s">
        <v>54</v>
      </c>
      <c r="X188" s="4" t="s">
        <v>55</v>
      </c>
      <c r="Y188" s="4" t="s">
        <v>69</v>
      </c>
      <c r="Z188" s="4" t="s">
        <v>57</v>
      </c>
      <c r="AA188" s="4">
        <v>6</v>
      </c>
      <c r="AB188" s="4">
        <f>ROUND(I188*(1-AA188/100),-1)</f>
        <v>2210</v>
      </c>
      <c r="AC188" s="4">
        <f t="shared" si="2"/>
        <v>2350</v>
      </c>
      <c r="AD188" s="4">
        <v>11</v>
      </c>
      <c r="AE188" s="4">
        <v>15</v>
      </c>
      <c r="AF188" s="4">
        <v>9</v>
      </c>
      <c r="AG188" s="4">
        <v>35</v>
      </c>
      <c r="AH188" s="4">
        <v>200</v>
      </c>
      <c r="AI188" s="4">
        <f>ROUND(300*I188*(1+AE188/100+AF188/100),0)</f>
        <v>874200</v>
      </c>
      <c r="AJ188" s="4">
        <v>4.8</v>
      </c>
      <c r="AK188" s="4">
        <v>765</v>
      </c>
      <c r="AL188" s="4" t="s">
        <v>58</v>
      </c>
      <c r="AM188" s="4" t="s">
        <v>59</v>
      </c>
    </row>
    <row r="189" spans="1:39" ht="228">
      <c r="A189" s="4" t="s">
        <v>1608</v>
      </c>
      <c r="B189" s="4" t="s">
        <v>1609</v>
      </c>
      <c r="C189" s="4" t="s">
        <v>72</v>
      </c>
      <c r="D189" s="4" t="s">
        <v>1610</v>
      </c>
      <c r="E189" s="4" t="s">
        <v>1611</v>
      </c>
      <c r="F189" s="4" t="s">
        <v>163</v>
      </c>
      <c r="G189" s="4" t="s">
        <v>1612</v>
      </c>
      <c r="H189" s="4" t="s">
        <v>1613</v>
      </c>
      <c r="I189" s="4">
        <v>2350</v>
      </c>
      <c r="J189" s="4">
        <v>3100</v>
      </c>
      <c r="K189" s="4">
        <v>4350</v>
      </c>
      <c r="L189" s="4">
        <v>775</v>
      </c>
      <c r="M189" s="4" t="s">
        <v>48</v>
      </c>
      <c r="N189" s="4" t="s">
        <v>60</v>
      </c>
      <c r="O189" s="4" t="s">
        <v>50</v>
      </c>
      <c r="P189" s="4">
        <v>180</v>
      </c>
      <c r="Q189" s="4" t="s">
        <v>1614</v>
      </c>
      <c r="R189" s="4" t="s">
        <v>1615</v>
      </c>
      <c r="S189" s="4" t="s">
        <v>50</v>
      </c>
      <c r="T189" s="4" t="s">
        <v>50</v>
      </c>
      <c r="U189" s="4" t="s">
        <v>50</v>
      </c>
      <c r="V189" s="4" t="s">
        <v>391</v>
      </c>
      <c r="W189" s="4" t="s">
        <v>54</v>
      </c>
      <c r="X189" s="4" t="s">
        <v>55</v>
      </c>
      <c r="Y189" s="4" t="s">
        <v>169</v>
      </c>
      <c r="Z189" s="4" t="s">
        <v>57</v>
      </c>
      <c r="AA189" s="4">
        <v>10</v>
      </c>
      <c r="AB189" s="4">
        <f>ROUND(I189*(1-AA189/100),-1)</f>
        <v>2120</v>
      </c>
      <c r="AC189" s="4">
        <f t="shared" si="2"/>
        <v>2350</v>
      </c>
      <c r="AD189" s="4">
        <v>12</v>
      </c>
      <c r="AE189" s="4">
        <v>15</v>
      </c>
      <c r="AF189" s="4">
        <v>9</v>
      </c>
      <c r="AG189" s="4">
        <v>38</v>
      </c>
      <c r="AH189" s="4">
        <v>250</v>
      </c>
      <c r="AI189" s="4">
        <f>ROUND(300*I189*(1+AE189/100+AF189/100),0)</f>
        <v>874200</v>
      </c>
      <c r="AJ189" s="4">
        <v>4.8</v>
      </c>
      <c r="AK189" s="4">
        <v>52</v>
      </c>
      <c r="AL189" s="4" t="s">
        <v>111</v>
      </c>
      <c r="AM189" s="4" t="s">
        <v>59</v>
      </c>
    </row>
    <row r="190" spans="1:39" ht="228">
      <c r="A190" s="4" t="s">
        <v>1616</v>
      </c>
      <c r="B190" s="4" t="s">
        <v>1617</v>
      </c>
      <c r="C190" s="4" t="s">
        <v>94</v>
      </c>
      <c r="D190" s="4" t="s">
        <v>1618</v>
      </c>
      <c r="E190" s="4" t="s">
        <v>1324</v>
      </c>
      <c r="F190" s="4" t="s">
        <v>282</v>
      </c>
      <c r="G190" s="4" t="s">
        <v>1619</v>
      </c>
      <c r="H190" s="4" t="s">
        <v>1620</v>
      </c>
      <c r="I190" s="4">
        <v>2100</v>
      </c>
      <c r="J190" s="4">
        <v>2550</v>
      </c>
      <c r="K190" s="4">
        <v>3650</v>
      </c>
      <c r="L190" s="4">
        <v>600</v>
      </c>
      <c r="M190" s="4" t="s">
        <v>48</v>
      </c>
      <c r="N190" s="4" t="s">
        <v>40</v>
      </c>
      <c r="O190" s="4" t="s">
        <v>50</v>
      </c>
      <c r="P190" s="4">
        <v>135</v>
      </c>
      <c r="Q190" s="4" t="s">
        <v>1621</v>
      </c>
      <c r="R190" s="4" t="s">
        <v>1622</v>
      </c>
      <c r="S190" s="4" t="s">
        <v>50</v>
      </c>
      <c r="T190" s="4" t="s">
        <v>50</v>
      </c>
      <c r="U190" s="4" t="s">
        <v>50</v>
      </c>
      <c r="V190" s="4" t="s">
        <v>1060</v>
      </c>
      <c r="W190" s="4" t="s">
        <v>54</v>
      </c>
      <c r="X190" s="4" t="s">
        <v>55</v>
      </c>
      <c r="Y190" s="4" t="s">
        <v>69</v>
      </c>
      <c r="Z190" s="4" t="s">
        <v>70</v>
      </c>
      <c r="AA190" s="4">
        <v>9</v>
      </c>
      <c r="AB190" s="4">
        <f>ROUND(I190*(1-AA190/100),-1)</f>
        <v>1910</v>
      </c>
      <c r="AC190" s="4">
        <f t="shared" si="2"/>
        <v>2100</v>
      </c>
      <c r="AD190" s="4">
        <v>16</v>
      </c>
      <c r="AE190" s="4">
        <v>15</v>
      </c>
      <c r="AF190" s="4">
        <v>8</v>
      </c>
      <c r="AG190" s="4">
        <v>37</v>
      </c>
      <c r="AH190" s="4">
        <v>175</v>
      </c>
      <c r="AI190" s="4">
        <f>ROUND(300*I190*(1+AE190/100+AF190/100),0)</f>
        <v>774900</v>
      </c>
      <c r="AJ190" s="4">
        <v>4.7</v>
      </c>
      <c r="AK190" s="4">
        <v>847</v>
      </c>
      <c r="AL190" s="4" t="s">
        <v>58</v>
      </c>
      <c r="AM190" s="4" t="s">
        <v>59</v>
      </c>
    </row>
    <row r="191" spans="1:39" ht="256.5">
      <c r="A191" s="4" t="s">
        <v>1623</v>
      </c>
      <c r="B191" s="4" t="s">
        <v>1624</v>
      </c>
      <c r="C191" s="4" t="s">
        <v>72</v>
      </c>
      <c r="D191" s="4" t="s">
        <v>1625</v>
      </c>
      <c r="E191" s="4" t="s">
        <v>1626</v>
      </c>
      <c r="F191" s="4" t="s">
        <v>282</v>
      </c>
      <c r="G191" s="4" t="s">
        <v>1627</v>
      </c>
      <c r="H191" s="4" t="s">
        <v>1628</v>
      </c>
      <c r="I191" s="4">
        <v>2650</v>
      </c>
      <c r="J191" s="4">
        <v>3150</v>
      </c>
      <c r="K191" s="4">
        <v>4300</v>
      </c>
      <c r="L191" s="4">
        <v>700</v>
      </c>
      <c r="M191" s="4" t="s">
        <v>40</v>
      </c>
      <c r="N191" s="4" t="s">
        <v>40</v>
      </c>
      <c r="O191" s="4" t="s">
        <v>50</v>
      </c>
      <c r="P191" s="4">
        <v>190</v>
      </c>
      <c r="Q191" s="4" t="s">
        <v>1629</v>
      </c>
      <c r="R191" s="4" t="s">
        <v>1630</v>
      </c>
      <c r="S191" s="4" t="s">
        <v>50</v>
      </c>
      <c r="T191" s="4" t="s">
        <v>50</v>
      </c>
      <c r="U191" s="4" t="s">
        <v>50</v>
      </c>
      <c r="V191" s="4" t="s">
        <v>1445</v>
      </c>
      <c r="W191" s="4" t="s">
        <v>54</v>
      </c>
      <c r="X191" s="4" t="s">
        <v>55</v>
      </c>
      <c r="Y191" s="4" t="s">
        <v>81</v>
      </c>
      <c r="Z191" s="4" t="s">
        <v>57</v>
      </c>
      <c r="AA191" s="4">
        <v>6</v>
      </c>
      <c r="AB191" s="4">
        <f>ROUND(I191*(1-AA191/100),-1)</f>
        <v>2490</v>
      </c>
      <c r="AC191" s="4">
        <f t="shared" si="2"/>
        <v>2650</v>
      </c>
      <c r="AD191" s="4">
        <v>13</v>
      </c>
      <c r="AE191" s="4">
        <v>15</v>
      </c>
      <c r="AF191" s="4">
        <v>7</v>
      </c>
      <c r="AG191" s="4">
        <v>38</v>
      </c>
      <c r="AH191" s="4">
        <v>275</v>
      </c>
      <c r="AI191" s="4">
        <f>ROUND(300*I191*(1+AE191/100+AF191/100),0)</f>
        <v>969900</v>
      </c>
      <c r="AJ191" s="4">
        <v>4.3</v>
      </c>
      <c r="AK191" s="4">
        <v>822</v>
      </c>
      <c r="AL191" s="4" t="s">
        <v>111</v>
      </c>
      <c r="AM191" s="4" t="s">
        <v>59</v>
      </c>
    </row>
    <row r="192" spans="1:39" ht="213.75">
      <c r="A192" s="4" t="s">
        <v>1631</v>
      </c>
      <c r="B192" s="4" t="s">
        <v>1632</v>
      </c>
      <c r="C192" s="4" t="s">
        <v>94</v>
      </c>
      <c r="D192" s="4" t="s">
        <v>1633</v>
      </c>
      <c r="E192" s="4" t="s">
        <v>1634</v>
      </c>
      <c r="F192" s="4" t="s">
        <v>153</v>
      </c>
      <c r="G192" s="4" t="s">
        <v>1635</v>
      </c>
      <c r="H192" s="4" t="s">
        <v>1636</v>
      </c>
      <c r="I192" s="4">
        <v>2100</v>
      </c>
      <c r="J192" s="4">
        <v>2900</v>
      </c>
      <c r="K192" s="4">
        <v>4000</v>
      </c>
      <c r="L192" s="4">
        <v>325</v>
      </c>
      <c r="M192" s="4" t="s">
        <v>48</v>
      </c>
      <c r="N192" s="4" t="s">
        <v>40</v>
      </c>
      <c r="O192" s="4" t="s">
        <v>50</v>
      </c>
      <c r="P192" s="4">
        <v>75</v>
      </c>
      <c r="Q192" s="4" t="s">
        <v>1637</v>
      </c>
      <c r="R192" s="4" t="s">
        <v>1638</v>
      </c>
      <c r="S192" s="4" t="s">
        <v>50</v>
      </c>
      <c r="T192" s="4" t="s">
        <v>50</v>
      </c>
      <c r="U192" s="4" t="s">
        <v>50</v>
      </c>
      <c r="V192" s="4" t="s">
        <v>867</v>
      </c>
      <c r="W192" s="4" t="s">
        <v>54</v>
      </c>
      <c r="X192" s="4" t="s">
        <v>55</v>
      </c>
      <c r="Y192" s="4" t="s">
        <v>69</v>
      </c>
      <c r="Z192" s="4" t="s">
        <v>70</v>
      </c>
      <c r="AA192" s="4">
        <v>7</v>
      </c>
      <c r="AB192" s="4">
        <f>ROUND(I192*(1-AA192/100),-1)</f>
        <v>1950</v>
      </c>
      <c r="AC192" s="4">
        <f t="shared" si="2"/>
        <v>2100</v>
      </c>
      <c r="AD192" s="4">
        <v>19</v>
      </c>
      <c r="AE192" s="4">
        <v>15</v>
      </c>
      <c r="AF192" s="4">
        <v>6</v>
      </c>
      <c r="AG192" s="4">
        <v>43</v>
      </c>
      <c r="AH192" s="4">
        <v>125</v>
      </c>
      <c r="AI192" s="4">
        <f>ROUND(300*I192*(1+AE192/100+AF192/100),0)</f>
        <v>762300</v>
      </c>
      <c r="AJ192" s="4">
        <v>4.3</v>
      </c>
      <c r="AK192" s="4">
        <v>337</v>
      </c>
      <c r="AL192" s="4" t="s">
        <v>111</v>
      </c>
      <c r="AM192" s="4" t="s">
        <v>59</v>
      </c>
    </row>
    <row r="193" spans="1:39" ht="228">
      <c r="A193" s="4" t="s">
        <v>1639</v>
      </c>
      <c r="B193" s="4" t="s">
        <v>1640</v>
      </c>
      <c r="C193" s="4" t="s">
        <v>94</v>
      </c>
      <c r="D193" s="4" t="s">
        <v>1641</v>
      </c>
      <c r="E193" s="4" t="s">
        <v>1642</v>
      </c>
      <c r="F193" s="4" t="s">
        <v>86</v>
      </c>
      <c r="G193" s="4" t="s">
        <v>1643</v>
      </c>
      <c r="H193" s="4" t="s">
        <v>1644</v>
      </c>
      <c r="I193" s="4">
        <v>2100</v>
      </c>
      <c r="J193" s="4">
        <v>3050</v>
      </c>
      <c r="K193" s="4">
        <v>4300</v>
      </c>
      <c r="L193" s="4">
        <v>500</v>
      </c>
      <c r="M193" s="4" t="s">
        <v>48</v>
      </c>
      <c r="N193" s="4" t="s">
        <v>40</v>
      </c>
      <c r="O193" s="4" t="s">
        <v>50</v>
      </c>
      <c r="P193" s="4">
        <v>130</v>
      </c>
      <c r="Q193" s="4" t="s">
        <v>1042</v>
      </c>
      <c r="R193" s="4" t="s">
        <v>1645</v>
      </c>
      <c r="S193" s="4" t="s">
        <v>50</v>
      </c>
      <c r="T193" s="4" t="s">
        <v>50</v>
      </c>
      <c r="U193" s="4" t="s">
        <v>50</v>
      </c>
      <c r="V193" s="4" t="s">
        <v>1028</v>
      </c>
      <c r="W193" s="4" t="s">
        <v>54</v>
      </c>
      <c r="X193" s="4" t="s">
        <v>55</v>
      </c>
      <c r="Y193" s="4" t="s">
        <v>69</v>
      </c>
      <c r="Z193" s="4" t="s">
        <v>70</v>
      </c>
      <c r="AA193" s="4">
        <v>11</v>
      </c>
      <c r="AB193" s="4">
        <f>ROUND(I193*(1-AA193/100),-1)</f>
        <v>1870</v>
      </c>
      <c r="AC193" s="4">
        <f t="shared" si="2"/>
        <v>2100</v>
      </c>
      <c r="AD193" s="4">
        <v>10</v>
      </c>
      <c r="AE193" s="4">
        <v>15</v>
      </c>
      <c r="AF193" s="4">
        <v>5</v>
      </c>
      <c r="AG193" s="4">
        <v>36</v>
      </c>
      <c r="AH193" s="4">
        <v>150</v>
      </c>
      <c r="AI193" s="4">
        <f>ROUND(300*I193*(1+AE193/100+AF193/100),0)</f>
        <v>756000</v>
      </c>
      <c r="AJ193" s="4">
        <v>4.0999999999999996</v>
      </c>
      <c r="AK193" s="4">
        <v>743</v>
      </c>
      <c r="AL193" s="4" t="s">
        <v>111</v>
      </c>
      <c r="AM193" s="4" t="s">
        <v>59</v>
      </c>
    </row>
    <row r="194" spans="1:39" ht="228">
      <c r="A194" s="4" t="s">
        <v>1646</v>
      </c>
      <c r="B194" s="4" t="s">
        <v>1647</v>
      </c>
      <c r="C194" s="4" t="s">
        <v>72</v>
      </c>
      <c r="D194" s="4" t="s">
        <v>1648</v>
      </c>
      <c r="E194" s="4" t="s">
        <v>1649</v>
      </c>
      <c r="F194" s="4" t="s">
        <v>192</v>
      </c>
      <c r="G194" s="4" t="s">
        <v>1650</v>
      </c>
      <c r="H194" s="4" t="s">
        <v>1651</v>
      </c>
      <c r="I194" s="4">
        <v>2300</v>
      </c>
      <c r="J194" s="4">
        <v>3250</v>
      </c>
      <c r="K194" s="4">
        <v>4200</v>
      </c>
      <c r="L194" s="4">
        <v>600</v>
      </c>
      <c r="M194" s="4" t="s">
        <v>48</v>
      </c>
      <c r="N194" s="4" t="s">
        <v>40</v>
      </c>
      <c r="O194" s="4" t="s">
        <v>50</v>
      </c>
      <c r="P194" s="4">
        <v>160</v>
      </c>
      <c r="Q194" s="4" t="s">
        <v>1652</v>
      </c>
      <c r="R194" s="4" t="s">
        <v>1653</v>
      </c>
      <c r="S194" s="4" t="s">
        <v>50</v>
      </c>
      <c r="T194" s="4" t="s">
        <v>50</v>
      </c>
      <c r="U194" s="4" t="s">
        <v>50</v>
      </c>
      <c r="V194" s="4" t="s">
        <v>1654</v>
      </c>
      <c r="W194" s="4" t="s">
        <v>54</v>
      </c>
      <c r="X194" s="4" t="s">
        <v>55</v>
      </c>
      <c r="Y194" s="4" t="s">
        <v>69</v>
      </c>
      <c r="Z194" s="4" t="s">
        <v>57</v>
      </c>
      <c r="AA194" s="4">
        <v>8</v>
      </c>
      <c r="AB194" s="4">
        <f>ROUND(I194*(1-AA194/100),-1)</f>
        <v>2120</v>
      </c>
      <c r="AC194" s="4">
        <f t="shared" ref="AC194:AC257" si="3">I194</f>
        <v>2300</v>
      </c>
      <c r="AD194" s="4">
        <v>12</v>
      </c>
      <c r="AE194" s="4">
        <v>15</v>
      </c>
      <c r="AF194" s="4">
        <v>7</v>
      </c>
      <c r="AG194" s="4">
        <v>32</v>
      </c>
      <c r="AH194" s="4">
        <v>225</v>
      </c>
      <c r="AI194" s="4">
        <f>ROUND(300*I194*(1+AE194/100+AF194/100),0)</f>
        <v>841800</v>
      </c>
      <c r="AJ194" s="4">
        <v>4.8</v>
      </c>
      <c r="AK194" s="4">
        <v>81</v>
      </c>
      <c r="AL194" s="4" t="s">
        <v>111</v>
      </c>
      <c r="AM194" s="4" t="s">
        <v>59</v>
      </c>
    </row>
    <row r="195" spans="1:39" ht="213.75">
      <c r="A195" s="4" t="s">
        <v>1655</v>
      </c>
      <c r="B195" s="4" t="s">
        <v>1656</v>
      </c>
      <c r="C195" s="4" t="s">
        <v>72</v>
      </c>
      <c r="D195" s="4" t="s">
        <v>1657</v>
      </c>
      <c r="E195" s="4" t="s">
        <v>1658</v>
      </c>
      <c r="F195" s="4" t="s">
        <v>282</v>
      </c>
      <c r="G195" s="4" t="s">
        <v>1659</v>
      </c>
      <c r="H195" s="4" t="s">
        <v>1660</v>
      </c>
      <c r="I195" s="4">
        <v>2200</v>
      </c>
      <c r="J195" s="4">
        <v>2950</v>
      </c>
      <c r="K195" s="4">
        <v>4850</v>
      </c>
      <c r="L195" s="4">
        <v>350</v>
      </c>
      <c r="M195" s="4" t="s">
        <v>48</v>
      </c>
      <c r="N195" s="4" t="s">
        <v>40</v>
      </c>
      <c r="O195" s="4" t="s">
        <v>50</v>
      </c>
      <c r="P195" s="4">
        <v>85</v>
      </c>
      <c r="Q195" s="4" t="s">
        <v>506</v>
      </c>
      <c r="R195" s="4" t="s">
        <v>1661</v>
      </c>
      <c r="S195" s="4" t="s">
        <v>50</v>
      </c>
      <c r="T195" s="4" t="s">
        <v>50</v>
      </c>
      <c r="U195" s="4" t="s">
        <v>50</v>
      </c>
      <c r="V195" s="4" t="s">
        <v>1288</v>
      </c>
      <c r="W195" s="4" t="s">
        <v>54</v>
      </c>
      <c r="X195" s="4" t="s">
        <v>55</v>
      </c>
      <c r="Y195" s="4" t="s">
        <v>69</v>
      </c>
      <c r="Z195" s="4" t="s">
        <v>57</v>
      </c>
      <c r="AA195" s="4">
        <v>12</v>
      </c>
      <c r="AB195" s="4">
        <f>ROUND(I195*(1-AA195/100),-1)</f>
        <v>1940</v>
      </c>
      <c r="AC195" s="4">
        <f t="shared" si="3"/>
        <v>2200</v>
      </c>
      <c r="AD195" s="4">
        <v>22</v>
      </c>
      <c r="AE195" s="4">
        <v>15</v>
      </c>
      <c r="AF195" s="4">
        <v>9</v>
      </c>
      <c r="AG195" s="4">
        <v>42</v>
      </c>
      <c r="AH195" s="4">
        <v>125</v>
      </c>
      <c r="AI195" s="4">
        <f>ROUND(300*I195*(1+AE195/100+AF195/100),0)</f>
        <v>818400</v>
      </c>
      <c r="AJ195" s="4">
        <v>4.5999999999999996</v>
      </c>
      <c r="AK195" s="4">
        <v>293</v>
      </c>
      <c r="AL195" s="4" t="s">
        <v>111</v>
      </c>
      <c r="AM195" s="4" t="s">
        <v>59</v>
      </c>
    </row>
    <row r="196" spans="1:39" ht="213.75">
      <c r="A196" s="4" t="s">
        <v>1662</v>
      </c>
      <c r="B196" s="4" t="s">
        <v>1663</v>
      </c>
      <c r="C196" s="4" t="s">
        <v>700</v>
      </c>
      <c r="D196" s="4" t="s">
        <v>1664</v>
      </c>
      <c r="E196" s="4" t="s">
        <v>1665</v>
      </c>
      <c r="F196" s="4" t="s">
        <v>45</v>
      </c>
      <c r="G196" s="4" t="s">
        <v>1666</v>
      </c>
      <c r="H196" s="4" t="s">
        <v>1667</v>
      </c>
      <c r="I196" s="4">
        <v>1400</v>
      </c>
      <c r="J196" s="4">
        <v>2100</v>
      </c>
      <c r="K196" s="4">
        <v>3150</v>
      </c>
      <c r="L196" s="4">
        <v>350</v>
      </c>
      <c r="M196" s="4" t="s">
        <v>48</v>
      </c>
      <c r="N196" s="4" t="s">
        <v>40</v>
      </c>
      <c r="O196" s="4" t="s">
        <v>50</v>
      </c>
      <c r="P196" s="4">
        <v>80</v>
      </c>
      <c r="Q196" s="4" t="s">
        <v>1668</v>
      </c>
      <c r="R196" s="4" t="s">
        <v>1669</v>
      </c>
      <c r="S196" s="4" t="s">
        <v>50</v>
      </c>
      <c r="T196" s="4" t="s">
        <v>50</v>
      </c>
      <c r="U196" s="4" t="s">
        <v>50</v>
      </c>
      <c r="V196" s="4" t="s">
        <v>955</v>
      </c>
      <c r="W196" s="4" t="s">
        <v>54</v>
      </c>
      <c r="X196" s="4" t="s">
        <v>55</v>
      </c>
      <c r="Y196" s="4" t="s">
        <v>69</v>
      </c>
      <c r="Z196" s="4" t="s">
        <v>706</v>
      </c>
      <c r="AA196" s="4">
        <v>7</v>
      </c>
      <c r="AB196" s="4">
        <f>ROUND(I196*(1-AA196/100),-1)</f>
        <v>1300</v>
      </c>
      <c r="AC196" s="4">
        <f t="shared" si="3"/>
        <v>1400</v>
      </c>
      <c r="AD196" s="4">
        <v>16</v>
      </c>
      <c r="AE196" s="4">
        <v>15</v>
      </c>
      <c r="AF196" s="4">
        <v>5</v>
      </c>
      <c r="AG196" s="4">
        <v>35</v>
      </c>
      <c r="AH196" s="4">
        <v>125</v>
      </c>
      <c r="AI196" s="4">
        <f>ROUND(300*I196*(1+AE196/100+AF196/100),0)</f>
        <v>504000</v>
      </c>
      <c r="AJ196" s="4">
        <v>4.2</v>
      </c>
      <c r="AK196" s="4">
        <v>80</v>
      </c>
      <c r="AL196" s="4" t="s">
        <v>111</v>
      </c>
      <c r="AM196" s="4" t="s">
        <v>59</v>
      </c>
    </row>
    <row r="197" spans="1:39" ht="213.75">
      <c r="A197" s="4" t="s">
        <v>1670</v>
      </c>
      <c r="B197" s="4" t="s">
        <v>1671</v>
      </c>
      <c r="C197" s="4" t="s">
        <v>72</v>
      </c>
      <c r="D197" s="4" t="s">
        <v>1672</v>
      </c>
      <c r="E197" s="4" t="s">
        <v>1673</v>
      </c>
      <c r="F197" s="4" t="s">
        <v>75</v>
      </c>
      <c r="G197" s="4" t="s">
        <v>1674</v>
      </c>
      <c r="H197" s="4" t="s">
        <v>1675</v>
      </c>
      <c r="I197" s="4">
        <v>2300</v>
      </c>
      <c r="J197" s="4">
        <v>3250</v>
      </c>
      <c r="K197" s="4">
        <v>4600</v>
      </c>
      <c r="L197" s="4">
        <v>325</v>
      </c>
      <c r="M197" s="4" t="s">
        <v>48</v>
      </c>
      <c r="N197" s="4" t="s">
        <v>40</v>
      </c>
      <c r="O197" s="4" t="s">
        <v>50</v>
      </c>
      <c r="P197" s="4">
        <v>65</v>
      </c>
      <c r="Q197" s="4" t="s">
        <v>790</v>
      </c>
      <c r="R197" s="4" t="s">
        <v>1676</v>
      </c>
      <c r="S197" s="4" t="s">
        <v>50</v>
      </c>
      <c r="T197" s="4" t="s">
        <v>50</v>
      </c>
      <c r="U197" s="4" t="s">
        <v>50</v>
      </c>
      <c r="V197" s="4" t="s">
        <v>206</v>
      </c>
      <c r="W197" s="4" t="s">
        <v>54</v>
      </c>
      <c r="X197" s="4" t="s">
        <v>55</v>
      </c>
      <c r="Y197" s="4" t="s">
        <v>69</v>
      </c>
      <c r="Z197" s="4" t="s">
        <v>57</v>
      </c>
      <c r="AA197" s="4">
        <v>5</v>
      </c>
      <c r="AB197" s="4">
        <f>ROUND(I197*(1-AA197/100),-1)</f>
        <v>2190</v>
      </c>
      <c r="AC197" s="4">
        <f t="shared" si="3"/>
        <v>2300</v>
      </c>
      <c r="AD197" s="4">
        <v>16</v>
      </c>
      <c r="AE197" s="4">
        <v>15</v>
      </c>
      <c r="AF197" s="4">
        <v>8</v>
      </c>
      <c r="AG197" s="4">
        <v>38</v>
      </c>
      <c r="AH197" s="4">
        <v>100</v>
      </c>
      <c r="AI197" s="4">
        <f>ROUND(300*I197*(1+AE197/100+AF197/100),0)</f>
        <v>848700</v>
      </c>
      <c r="AJ197" s="4">
        <v>4.5999999999999996</v>
      </c>
      <c r="AK197" s="4">
        <v>318</v>
      </c>
      <c r="AL197" s="4" t="s">
        <v>111</v>
      </c>
      <c r="AM197" s="4" t="s">
        <v>59</v>
      </c>
    </row>
    <row r="198" spans="1:39" ht="228">
      <c r="A198" s="4" t="s">
        <v>1677</v>
      </c>
      <c r="B198" s="4" t="s">
        <v>1678</v>
      </c>
      <c r="C198" s="4" t="s">
        <v>72</v>
      </c>
      <c r="D198" s="4" t="s">
        <v>1679</v>
      </c>
      <c r="E198" s="4" t="s">
        <v>1680</v>
      </c>
      <c r="F198" s="4" t="s">
        <v>75</v>
      </c>
      <c r="G198" s="4" t="s">
        <v>1681</v>
      </c>
      <c r="H198" s="4" t="s">
        <v>1682</v>
      </c>
      <c r="I198" s="4">
        <v>2250</v>
      </c>
      <c r="J198" s="4">
        <v>3100</v>
      </c>
      <c r="K198" s="4">
        <v>4800</v>
      </c>
      <c r="L198" s="4">
        <v>675</v>
      </c>
      <c r="M198" s="4" t="s">
        <v>48</v>
      </c>
      <c r="N198" s="4" t="s">
        <v>40</v>
      </c>
      <c r="O198" s="4" t="s">
        <v>50</v>
      </c>
      <c r="P198" s="4">
        <v>170</v>
      </c>
      <c r="Q198" s="4" t="s">
        <v>1683</v>
      </c>
      <c r="R198" s="4" t="s">
        <v>1684</v>
      </c>
      <c r="S198" s="4" t="s">
        <v>50</v>
      </c>
      <c r="T198" s="4" t="s">
        <v>50</v>
      </c>
      <c r="U198" s="4" t="s">
        <v>50</v>
      </c>
      <c r="V198" s="4" t="s">
        <v>206</v>
      </c>
      <c r="W198" s="4" t="s">
        <v>54</v>
      </c>
      <c r="X198" s="4" t="s">
        <v>55</v>
      </c>
      <c r="Y198" s="4" t="s">
        <v>69</v>
      </c>
      <c r="Z198" s="4" t="s">
        <v>57</v>
      </c>
      <c r="AA198" s="4">
        <v>11</v>
      </c>
      <c r="AB198" s="4">
        <f>ROUND(I198*(1-AA198/100),-1)</f>
        <v>2000</v>
      </c>
      <c r="AC198" s="4">
        <f t="shared" si="3"/>
        <v>2250</v>
      </c>
      <c r="AD198" s="4">
        <v>16</v>
      </c>
      <c r="AE198" s="4">
        <v>15</v>
      </c>
      <c r="AF198" s="4">
        <v>7</v>
      </c>
      <c r="AG198" s="4">
        <v>40</v>
      </c>
      <c r="AH198" s="4">
        <v>200</v>
      </c>
      <c r="AI198" s="4">
        <f>ROUND(300*I198*(1+AE198/100+AF198/100),0)</f>
        <v>823500</v>
      </c>
      <c r="AJ198" s="4">
        <v>4.5</v>
      </c>
      <c r="AK198" s="4">
        <v>253</v>
      </c>
      <c r="AL198" s="4" t="s">
        <v>111</v>
      </c>
      <c r="AM198" s="4" t="s">
        <v>59</v>
      </c>
    </row>
    <row r="199" spans="1:39" ht="228">
      <c r="A199" s="4" t="s">
        <v>1685</v>
      </c>
      <c r="B199" s="4" t="s">
        <v>1686</v>
      </c>
      <c r="C199" s="4" t="s">
        <v>72</v>
      </c>
      <c r="D199" s="4" t="s">
        <v>1687</v>
      </c>
      <c r="E199" s="4" t="s">
        <v>975</v>
      </c>
      <c r="F199" s="4" t="s">
        <v>163</v>
      </c>
      <c r="G199" s="4" t="s">
        <v>1688</v>
      </c>
      <c r="H199" s="4" t="s">
        <v>1689</v>
      </c>
      <c r="I199" s="4">
        <v>2700</v>
      </c>
      <c r="J199" s="4">
        <v>3200</v>
      </c>
      <c r="K199" s="4">
        <v>4200</v>
      </c>
      <c r="L199" s="4">
        <v>475</v>
      </c>
      <c r="M199" s="4" t="s">
        <v>48</v>
      </c>
      <c r="N199" s="4" t="s">
        <v>60</v>
      </c>
      <c r="O199" s="4" t="s">
        <v>50</v>
      </c>
      <c r="P199" s="4">
        <v>105</v>
      </c>
      <c r="Q199" s="4" t="s">
        <v>1690</v>
      </c>
      <c r="R199" s="4" t="s">
        <v>1691</v>
      </c>
      <c r="S199" s="4" t="s">
        <v>50</v>
      </c>
      <c r="T199" s="4" t="s">
        <v>50</v>
      </c>
      <c r="U199" s="4" t="s">
        <v>50</v>
      </c>
      <c r="V199" s="4" t="s">
        <v>296</v>
      </c>
      <c r="W199" s="4" t="s">
        <v>54</v>
      </c>
      <c r="X199" s="4" t="s">
        <v>55</v>
      </c>
      <c r="Y199" s="4" t="s">
        <v>169</v>
      </c>
      <c r="Z199" s="4" t="s">
        <v>57</v>
      </c>
      <c r="AA199" s="4">
        <v>9</v>
      </c>
      <c r="AB199" s="4">
        <f>ROUND(I199*(1-AA199/100),-1)</f>
        <v>2460</v>
      </c>
      <c r="AC199" s="4">
        <f t="shared" si="3"/>
        <v>2700</v>
      </c>
      <c r="AD199" s="4">
        <v>19</v>
      </c>
      <c r="AE199" s="4">
        <v>15</v>
      </c>
      <c r="AF199" s="4">
        <v>10</v>
      </c>
      <c r="AG199" s="4">
        <v>31</v>
      </c>
      <c r="AH199" s="4">
        <v>125</v>
      </c>
      <c r="AI199" s="4">
        <f>ROUND(300*I199*(1+AE199/100+AF199/100),0)</f>
        <v>1012500</v>
      </c>
      <c r="AJ199" s="4">
        <v>4.0999999999999996</v>
      </c>
      <c r="AK199" s="4">
        <v>236</v>
      </c>
      <c r="AL199" s="4" t="s">
        <v>111</v>
      </c>
      <c r="AM199" s="4" t="s">
        <v>59</v>
      </c>
    </row>
    <row r="200" spans="1:39" ht="256.5">
      <c r="A200" s="4" t="s">
        <v>1692</v>
      </c>
      <c r="B200" s="4" t="s">
        <v>1693</v>
      </c>
      <c r="C200" s="4" t="s">
        <v>72</v>
      </c>
      <c r="D200" s="4" t="s">
        <v>1694</v>
      </c>
      <c r="E200" s="4" t="s">
        <v>1394</v>
      </c>
      <c r="F200" s="4" t="s">
        <v>75</v>
      </c>
      <c r="G200" s="4" t="s">
        <v>1695</v>
      </c>
      <c r="H200" s="4" t="s">
        <v>1696</v>
      </c>
      <c r="I200" s="4">
        <v>2300</v>
      </c>
      <c r="J200" s="4">
        <v>2950</v>
      </c>
      <c r="K200" s="4">
        <v>4350</v>
      </c>
      <c r="L200" s="4">
        <v>675</v>
      </c>
      <c r="M200" s="4" t="s">
        <v>40</v>
      </c>
      <c r="N200" s="4" t="s">
        <v>40</v>
      </c>
      <c r="O200" s="4" t="s">
        <v>50</v>
      </c>
      <c r="P200" s="4">
        <v>155</v>
      </c>
      <c r="Q200" s="4" t="s">
        <v>1697</v>
      </c>
      <c r="R200" s="4" t="s">
        <v>1698</v>
      </c>
      <c r="S200" s="4" t="s">
        <v>50</v>
      </c>
      <c r="T200" s="4" t="s">
        <v>50</v>
      </c>
      <c r="U200" s="4" t="s">
        <v>50</v>
      </c>
      <c r="V200" s="4" t="s">
        <v>364</v>
      </c>
      <c r="W200" s="4" t="s">
        <v>54</v>
      </c>
      <c r="X200" s="4" t="s">
        <v>55</v>
      </c>
      <c r="Y200" s="4" t="s">
        <v>81</v>
      </c>
      <c r="Z200" s="4" t="s">
        <v>57</v>
      </c>
      <c r="AA200" s="4">
        <v>8</v>
      </c>
      <c r="AB200" s="4">
        <f>ROUND(I200*(1-AA200/100),-1)</f>
        <v>2120</v>
      </c>
      <c r="AC200" s="4">
        <f t="shared" si="3"/>
        <v>2300</v>
      </c>
      <c r="AD200" s="4">
        <v>14</v>
      </c>
      <c r="AE200" s="4">
        <v>15</v>
      </c>
      <c r="AF200" s="4">
        <v>8</v>
      </c>
      <c r="AG200" s="4">
        <v>36</v>
      </c>
      <c r="AH200" s="4">
        <v>200</v>
      </c>
      <c r="AI200" s="4">
        <f>ROUND(300*I200*(1+AE200/100+AF200/100),0)</f>
        <v>848700</v>
      </c>
      <c r="AJ200" s="4">
        <v>4.3</v>
      </c>
      <c r="AK200" s="4">
        <v>211</v>
      </c>
      <c r="AL200" s="4" t="s">
        <v>111</v>
      </c>
      <c r="AM200" s="4" t="s">
        <v>59</v>
      </c>
    </row>
    <row r="201" spans="1:39" ht="228">
      <c r="A201" s="4" t="s">
        <v>1699</v>
      </c>
      <c r="B201" s="4" t="s">
        <v>1700</v>
      </c>
      <c r="C201" s="4" t="s">
        <v>94</v>
      </c>
      <c r="D201" s="4" t="s">
        <v>1701</v>
      </c>
      <c r="E201" s="4" t="s">
        <v>1702</v>
      </c>
      <c r="F201" s="4" t="s">
        <v>45</v>
      </c>
      <c r="G201" s="4" t="s">
        <v>1703</v>
      </c>
      <c r="H201" s="4" t="s">
        <v>1704</v>
      </c>
      <c r="I201" s="4">
        <v>1900</v>
      </c>
      <c r="J201" s="4">
        <v>2750</v>
      </c>
      <c r="K201" s="4">
        <v>3800</v>
      </c>
      <c r="L201" s="4">
        <v>475</v>
      </c>
      <c r="M201" s="4" t="s">
        <v>48</v>
      </c>
      <c r="N201" s="4" t="s">
        <v>40</v>
      </c>
      <c r="O201" s="4" t="s">
        <v>50</v>
      </c>
      <c r="P201" s="4">
        <v>110</v>
      </c>
      <c r="Q201" s="4" t="s">
        <v>1705</v>
      </c>
      <c r="R201" s="4" t="s">
        <v>1706</v>
      </c>
      <c r="S201" s="4" t="s">
        <v>50</v>
      </c>
      <c r="T201" s="4" t="s">
        <v>50</v>
      </c>
      <c r="U201" s="4" t="s">
        <v>50</v>
      </c>
      <c r="V201" s="4" t="s">
        <v>834</v>
      </c>
      <c r="W201" s="4" t="s">
        <v>54</v>
      </c>
      <c r="X201" s="4" t="s">
        <v>55</v>
      </c>
      <c r="Y201" s="4" t="s">
        <v>69</v>
      </c>
      <c r="Z201" s="4" t="s">
        <v>70</v>
      </c>
      <c r="AA201" s="4">
        <v>8</v>
      </c>
      <c r="AB201" s="4">
        <f>ROUND(I201*(1-AA201/100),-1)</f>
        <v>1750</v>
      </c>
      <c r="AC201" s="4">
        <f t="shared" si="3"/>
        <v>1900</v>
      </c>
      <c r="AD201" s="4">
        <v>10</v>
      </c>
      <c r="AE201" s="4">
        <v>15</v>
      </c>
      <c r="AF201" s="4">
        <v>9</v>
      </c>
      <c r="AG201" s="4">
        <v>34</v>
      </c>
      <c r="AH201" s="4">
        <v>200</v>
      </c>
      <c r="AI201" s="4">
        <f>ROUND(300*I201*(1+AE201/100+AF201/100),0)</f>
        <v>706800</v>
      </c>
      <c r="AJ201" s="4">
        <v>4.3</v>
      </c>
      <c r="AK201" s="4">
        <v>750</v>
      </c>
      <c r="AL201" s="4" t="s">
        <v>111</v>
      </c>
      <c r="AM201" s="4" t="s">
        <v>59</v>
      </c>
    </row>
    <row r="202" spans="1:39" ht="213.75">
      <c r="A202" s="4" t="s">
        <v>1707</v>
      </c>
      <c r="B202" s="4" t="s">
        <v>1708</v>
      </c>
      <c r="C202" s="4" t="s">
        <v>94</v>
      </c>
      <c r="D202" s="4" t="s">
        <v>1709</v>
      </c>
      <c r="E202" s="4" t="s">
        <v>1710</v>
      </c>
      <c r="F202" s="4" t="s">
        <v>75</v>
      </c>
      <c r="G202" s="4" t="s">
        <v>1711</v>
      </c>
      <c r="H202" s="4" t="s">
        <v>1712</v>
      </c>
      <c r="I202" s="4">
        <v>2000</v>
      </c>
      <c r="J202" s="4">
        <v>2800</v>
      </c>
      <c r="K202" s="4">
        <v>4900</v>
      </c>
      <c r="L202" s="4">
        <v>475</v>
      </c>
      <c r="M202" s="4" t="s">
        <v>48</v>
      </c>
      <c r="N202" s="4" t="s">
        <v>40</v>
      </c>
      <c r="O202" s="4" t="s">
        <v>50</v>
      </c>
      <c r="P202" s="4">
        <v>80</v>
      </c>
      <c r="Q202" s="4" t="s">
        <v>1139</v>
      </c>
      <c r="R202" s="4" t="s">
        <v>1713</v>
      </c>
      <c r="S202" s="4" t="s">
        <v>50</v>
      </c>
      <c r="T202" s="4" t="s">
        <v>50</v>
      </c>
      <c r="U202" s="4" t="s">
        <v>50</v>
      </c>
      <c r="V202" s="4" t="s">
        <v>187</v>
      </c>
      <c r="W202" s="4" t="s">
        <v>54</v>
      </c>
      <c r="X202" s="4" t="s">
        <v>55</v>
      </c>
      <c r="Y202" s="4" t="s">
        <v>69</v>
      </c>
      <c r="Z202" s="4" t="s">
        <v>70</v>
      </c>
      <c r="AA202" s="4">
        <v>12</v>
      </c>
      <c r="AB202" s="4">
        <f>ROUND(I202*(1-AA202/100),-1)</f>
        <v>1760</v>
      </c>
      <c r="AC202" s="4">
        <f t="shared" si="3"/>
        <v>2000</v>
      </c>
      <c r="AD202" s="4">
        <v>22</v>
      </c>
      <c r="AE202" s="4">
        <v>15</v>
      </c>
      <c r="AF202" s="4">
        <v>8</v>
      </c>
      <c r="AG202" s="4">
        <v>32</v>
      </c>
      <c r="AH202" s="4">
        <v>175</v>
      </c>
      <c r="AI202" s="4">
        <f>ROUND(300*I202*(1+AE202/100+AF202/100),0)</f>
        <v>738000</v>
      </c>
      <c r="AJ202" s="4">
        <v>4.0999999999999996</v>
      </c>
      <c r="AK202" s="4">
        <v>77</v>
      </c>
      <c r="AL202" s="4" t="s">
        <v>111</v>
      </c>
      <c r="AM202" s="4" t="s">
        <v>59</v>
      </c>
    </row>
    <row r="203" spans="1:39" ht="213.75">
      <c r="A203" s="4" t="s">
        <v>1714</v>
      </c>
      <c r="B203" s="4" t="s">
        <v>1715</v>
      </c>
      <c r="C203" s="4" t="s">
        <v>94</v>
      </c>
      <c r="D203" s="4" t="s">
        <v>1716</v>
      </c>
      <c r="E203" s="4" t="s">
        <v>1717</v>
      </c>
      <c r="F203" s="4" t="s">
        <v>282</v>
      </c>
      <c r="G203" s="4" t="s">
        <v>1718</v>
      </c>
      <c r="H203" s="4" t="s">
        <v>1719</v>
      </c>
      <c r="I203" s="4">
        <v>2150</v>
      </c>
      <c r="J203" s="4">
        <v>3100</v>
      </c>
      <c r="K203" s="4">
        <v>5100</v>
      </c>
      <c r="L203" s="4">
        <v>525</v>
      </c>
      <c r="M203" s="4" t="s">
        <v>48</v>
      </c>
      <c r="N203" s="4" t="s">
        <v>40</v>
      </c>
      <c r="O203" s="4" t="s">
        <v>50</v>
      </c>
      <c r="P203" s="4">
        <v>95</v>
      </c>
      <c r="Q203" s="4" t="s">
        <v>1310</v>
      </c>
      <c r="R203" s="4" t="s">
        <v>1720</v>
      </c>
      <c r="S203" s="4" t="s">
        <v>50</v>
      </c>
      <c r="T203" s="4" t="s">
        <v>50</v>
      </c>
      <c r="U203" s="4" t="s">
        <v>50</v>
      </c>
      <c r="V203" s="4" t="s">
        <v>1060</v>
      </c>
      <c r="W203" s="4" t="s">
        <v>54</v>
      </c>
      <c r="X203" s="4" t="s">
        <v>55</v>
      </c>
      <c r="Y203" s="4" t="s">
        <v>69</v>
      </c>
      <c r="Z203" s="4" t="s">
        <v>70</v>
      </c>
      <c r="AA203" s="4">
        <v>10</v>
      </c>
      <c r="AB203" s="4">
        <f>ROUND(I203*(1-AA203/100),-1)</f>
        <v>1940</v>
      </c>
      <c r="AC203" s="4">
        <f t="shared" si="3"/>
        <v>2150</v>
      </c>
      <c r="AD203" s="4">
        <v>18</v>
      </c>
      <c r="AE203" s="4">
        <v>15</v>
      </c>
      <c r="AF203" s="4">
        <v>10</v>
      </c>
      <c r="AG203" s="4">
        <v>44</v>
      </c>
      <c r="AH203" s="4">
        <v>200</v>
      </c>
      <c r="AI203" s="4">
        <f>ROUND(300*I203*(1+AE203/100+AF203/100),0)</f>
        <v>806250</v>
      </c>
      <c r="AJ203" s="4">
        <v>4.0999999999999996</v>
      </c>
      <c r="AK203" s="4">
        <v>587</v>
      </c>
      <c r="AL203" s="4" t="s">
        <v>111</v>
      </c>
      <c r="AM203" s="4" t="s">
        <v>59</v>
      </c>
    </row>
    <row r="204" spans="1:39" ht="256.5">
      <c r="A204" s="4" t="s">
        <v>1721</v>
      </c>
      <c r="B204" s="4" t="s">
        <v>1722</v>
      </c>
      <c r="C204" s="4" t="s">
        <v>72</v>
      </c>
      <c r="D204" s="4" t="s">
        <v>1723</v>
      </c>
      <c r="E204" s="4" t="s">
        <v>1724</v>
      </c>
      <c r="F204" s="4" t="s">
        <v>163</v>
      </c>
      <c r="G204" s="4" t="s">
        <v>1725</v>
      </c>
      <c r="H204" s="4" t="s">
        <v>1726</v>
      </c>
      <c r="I204" s="4">
        <v>2500</v>
      </c>
      <c r="J204" s="4">
        <v>3250</v>
      </c>
      <c r="K204" s="4">
        <v>4300</v>
      </c>
      <c r="L204" s="4">
        <v>875</v>
      </c>
      <c r="M204" s="4" t="s">
        <v>40</v>
      </c>
      <c r="N204" s="4" t="s">
        <v>49</v>
      </c>
      <c r="O204" s="4" t="s">
        <v>50</v>
      </c>
      <c r="P204" s="4">
        <v>240</v>
      </c>
      <c r="Q204" s="4" t="s">
        <v>1727</v>
      </c>
      <c r="R204" s="4" t="s">
        <v>1728</v>
      </c>
      <c r="S204" s="4" t="s">
        <v>50</v>
      </c>
      <c r="T204" s="4" t="s">
        <v>50</v>
      </c>
      <c r="U204" s="4" t="s">
        <v>50</v>
      </c>
      <c r="V204" s="4" t="s">
        <v>1729</v>
      </c>
      <c r="W204" s="4" t="s">
        <v>54</v>
      </c>
      <c r="X204" s="4" t="s">
        <v>55</v>
      </c>
      <c r="Y204" s="4" t="s">
        <v>169</v>
      </c>
      <c r="Z204" s="4" t="s">
        <v>57</v>
      </c>
      <c r="AA204" s="4">
        <v>6</v>
      </c>
      <c r="AB204" s="4">
        <f>ROUND(I204*(1-AA204/100),-1)</f>
        <v>2350</v>
      </c>
      <c r="AC204" s="4">
        <f t="shared" si="3"/>
        <v>2500</v>
      </c>
      <c r="AD204" s="4">
        <v>12</v>
      </c>
      <c r="AE204" s="4">
        <v>15</v>
      </c>
      <c r="AF204" s="4">
        <v>6</v>
      </c>
      <c r="AG204" s="4">
        <v>44</v>
      </c>
      <c r="AH204" s="4">
        <v>300</v>
      </c>
      <c r="AI204" s="4">
        <f>ROUND(300*I204*(1+AE204/100+AF204/100),0)</f>
        <v>907500</v>
      </c>
      <c r="AJ204" s="4">
        <v>4.3</v>
      </c>
      <c r="AK204" s="4">
        <v>779</v>
      </c>
      <c r="AL204" s="4" t="s">
        <v>111</v>
      </c>
      <c r="AM204" s="4" t="s">
        <v>59</v>
      </c>
    </row>
    <row r="205" spans="1:39" ht="228">
      <c r="A205" s="4" t="s">
        <v>1730</v>
      </c>
      <c r="B205" s="4" t="s">
        <v>1731</v>
      </c>
      <c r="C205" s="4" t="s">
        <v>700</v>
      </c>
      <c r="D205" s="4" t="s">
        <v>1732</v>
      </c>
      <c r="E205" s="4" t="s">
        <v>1733</v>
      </c>
      <c r="F205" s="4" t="s">
        <v>192</v>
      </c>
      <c r="G205" s="4" t="s">
        <v>1734</v>
      </c>
      <c r="H205" s="4" t="s">
        <v>1735</v>
      </c>
      <c r="I205" s="4">
        <v>1550</v>
      </c>
      <c r="J205" s="4">
        <v>2350</v>
      </c>
      <c r="K205" s="4">
        <v>3800</v>
      </c>
      <c r="L205" s="4">
        <v>675</v>
      </c>
      <c r="M205" s="4" t="s">
        <v>48</v>
      </c>
      <c r="N205" s="4" t="s">
        <v>40</v>
      </c>
      <c r="O205" s="4" t="s">
        <v>50</v>
      </c>
      <c r="P205" s="4">
        <v>165</v>
      </c>
      <c r="Q205" s="4" t="s">
        <v>1736</v>
      </c>
      <c r="R205" s="4" t="s">
        <v>1737</v>
      </c>
      <c r="S205" s="4" t="s">
        <v>50</v>
      </c>
      <c r="T205" s="4" t="s">
        <v>50</v>
      </c>
      <c r="U205" s="4" t="s">
        <v>50</v>
      </c>
      <c r="V205" s="4" t="s">
        <v>1186</v>
      </c>
      <c r="W205" s="4" t="s">
        <v>54</v>
      </c>
      <c r="X205" s="4" t="s">
        <v>55</v>
      </c>
      <c r="Y205" s="4" t="s">
        <v>69</v>
      </c>
      <c r="Z205" s="4" t="s">
        <v>706</v>
      </c>
      <c r="AA205" s="4">
        <v>9</v>
      </c>
      <c r="AB205" s="4">
        <f>ROUND(I205*(1-AA205/100),-1)</f>
        <v>1410</v>
      </c>
      <c r="AC205" s="4">
        <f t="shared" si="3"/>
        <v>1550</v>
      </c>
      <c r="AD205" s="4">
        <v>13</v>
      </c>
      <c r="AE205" s="4">
        <v>15</v>
      </c>
      <c r="AF205" s="4">
        <v>9</v>
      </c>
      <c r="AG205" s="4">
        <v>30</v>
      </c>
      <c r="AH205" s="4">
        <v>250</v>
      </c>
      <c r="AI205" s="4">
        <f>ROUND(300*I205*(1+AE205/100+AF205/100),0)</f>
        <v>576600</v>
      </c>
      <c r="AJ205" s="4">
        <v>4.5999999999999996</v>
      </c>
      <c r="AK205" s="4">
        <v>199</v>
      </c>
      <c r="AL205" s="4" t="s">
        <v>111</v>
      </c>
      <c r="AM205" s="4" t="s">
        <v>59</v>
      </c>
    </row>
    <row r="206" spans="1:39" ht="228">
      <c r="A206" s="4" t="s">
        <v>1738</v>
      </c>
      <c r="B206" s="4" t="s">
        <v>1739</v>
      </c>
      <c r="C206" s="4" t="s">
        <v>72</v>
      </c>
      <c r="D206" s="4" t="s">
        <v>1740</v>
      </c>
      <c r="E206" s="4" t="s">
        <v>1741</v>
      </c>
      <c r="F206" s="4" t="s">
        <v>153</v>
      </c>
      <c r="G206" s="4" t="s">
        <v>1742</v>
      </c>
      <c r="H206" s="4" t="s">
        <v>1743</v>
      </c>
      <c r="I206" s="4">
        <v>2250</v>
      </c>
      <c r="J206" s="4">
        <v>2950</v>
      </c>
      <c r="K206" s="4">
        <v>3950</v>
      </c>
      <c r="L206" s="4">
        <v>650</v>
      </c>
      <c r="M206" s="4" t="s">
        <v>48</v>
      </c>
      <c r="N206" s="4" t="s">
        <v>40</v>
      </c>
      <c r="O206" s="4" t="s">
        <v>50</v>
      </c>
      <c r="P206" s="4">
        <v>160</v>
      </c>
      <c r="Q206" s="4" t="s">
        <v>1744</v>
      </c>
      <c r="R206" s="4" t="s">
        <v>1745</v>
      </c>
      <c r="S206" s="4" t="s">
        <v>50</v>
      </c>
      <c r="T206" s="4" t="s">
        <v>50</v>
      </c>
      <c r="U206" s="4" t="s">
        <v>50</v>
      </c>
      <c r="V206" s="4" t="s">
        <v>215</v>
      </c>
      <c r="W206" s="4" t="s">
        <v>54</v>
      </c>
      <c r="X206" s="4" t="s">
        <v>55</v>
      </c>
      <c r="Y206" s="4" t="s">
        <v>69</v>
      </c>
      <c r="Z206" s="4" t="s">
        <v>57</v>
      </c>
      <c r="AA206" s="4">
        <v>11</v>
      </c>
      <c r="AB206" s="4">
        <f>ROUND(I206*(1-AA206/100),-1)</f>
        <v>2000</v>
      </c>
      <c r="AC206" s="4">
        <f t="shared" si="3"/>
        <v>2250</v>
      </c>
      <c r="AD206" s="4">
        <v>14</v>
      </c>
      <c r="AE206" s="4">
        <v>15</v>
      </c>
      <c r="AF206" s="4">
        <v>8</v>
      </c>
      <c r="AG206" s="4">
        <v>36</v>
      </c>
      <c r="AH206" s="4">
        <v>250</v>
      </c>
      <c r="AI206" s="4">
        <f>ROUND(300*I206*(1+AE206/100+AF206/100),0)</f>
        <v>830250</v>
      </c>
      <c r="AJ206" s="4">
        <v>4.8</v>
      </c>
      <c r="AK206" s="4">
        <v>414</v>
      </c>
      <c r="AL206" s="4" t="s">
        <v>111</v>
      </c>
      <c r="AM206" s="4" t="s">
        <v>59</v>
      </c>
    </row>
    <row r="207" spans="1:39" ht="256.5">
      <c r="A207" s="4" t="s">
        <v>1746</v>
      </c>
      <c r="B207" s="4" t="s">
        <v>1747</v>
      </c>
      <c r="C207" s="4" t="s">
        <v>72</v>
      </c>
      <c r="D207" s="4" t="s">
        <v>1748</v>
      </c>
      <c r="E207" s="4" t="s">
        <v>1103</v>
      </c>
      <c r="F207" s="4" t="s">
        <v>255</v>
      </c>
      <c r="G207" s="4" t="s">
        <v>1749</v>
      </c>
      <c r="H207" s="4" t="s">
        <v>1750</v>
      </c>
      <c r="I207" s="4">
        <v>2300</v>
      </c>
      <c r="J207" s="4">
        <v>3250</v>
      </c>
      <c r="K207" s="4">
        <v>5000</v>
      </c>
      <c r="L207" s="4">
        <v>750</v>
      </c>
      <c r="M207" s="4" t="s">
        <v>40</v>
      </c>
      <c r="N207" s="4" t="s">
        <v>40</v>
      </c>
      <c r="O207" s="4" t="s">
        <v>50</v>
      </c>
      <c r="P207" s="4">
        <v>145</v>
      </c>
      <c r="Q207" s="4" t="s">
        <v>89</v>
      </c>
      <c r="R207" s="4" t="s">
        <v>1751</v>
      </c>
      <c r="S207" s="4" t="s">
        <v>50</v>
      </c>
      <c r="T207" s="4" t="s">
        <v>50</v>
      </c>
      <c r="U207" s="4" t="s">
        <v>50</v>
      </c>
      <c r="V207" s="4" t="s">
        <v>1108</v>
      </c>
      <c r="W207" s="4" t="s">
        <v>54</v>
      </c>
      <c r="X207" s="4" t="s">
        <v>55</v>
      </c>
      <c r="Y207" s="4" t="s">
        <v>81</v>
      </c>
      <c r="Z207" s="4" t="s">
        <v>57</v>
      </c>
      <c r="AA207" s="4">
        <v>11</v>
      </c>
      <c r="AB207" s="4">
        <f>ROUND(I207*(1-AA207/100),-1)</f>
        <v>2050</v>
      </c>
      <c r="AC207" s="4">
        <f t="shared" si="3"/>
        <v>2300</v>
      </c>
      <c r="AD207" s="4">
        <v>17</v>
      </c>
      <c r="AE207" s="4">
        <v>15</v>
      </c>
      <c r="AF207" s="4">
        <v>6</v>
      </c>
      <c r="AG207" s="4">
        <v>44</v>
      </c>
      <c r="AH207" s="4">
        <v>250</v>
      </c>
      <c r="AI207" s="4">
        <f>ROUND(300*I207*(1+AE207/100+AF207/100),0)</f>
        <v>834900</v>
      </c>
      <c r="AJ207" s="4">
        <v>4.2</v>
      </c>
      <c r="AK207" s="4">
        <v>610</v>
      </c>
      <c r="AL207" s="4" t="s">
        <v>111</v>
      </c>
      <c r="AM207" s="4" t="s">
        <v>59</v>
      </c>
    </row>
    <row r="208" spans="1:39" ht="256.5">
      <c r="A208" s="4" t="s">
        <v>1752</v>
      </c>
      <c r="B208" s="4" t="s">
        <v>1753</v>
      </c>
      <c r="C208" s="4" t="s">
        <v>72</v>
      </c>
      <c r="D208" s="4" t="s">
        <v>1754</v>
      </c>
      <c r="E208" s="4" t="s">
        <v>1755</v>
      </c>
      <c r="F208" s="4" t="s">
        <v>75</v>
      </c>
      <c r="G208" s="4" t="s">
        <v>1756</v>
      </c>
      <c r="H208" s="4" t="s">
        <v>1757</v>
      </c>
      <c r="I208" s="4">
        <v>2200</v>
      </c>
      <c r="J208" s="4">
        <v>3000</v>
      </c>
      <c r="K208" s="4">
        <v>4750</v>
      </c>
      <c r="L208" s="4">
        <v>825</v>
      </c>
      <c r="M208" s="4" t="s">
        <v>40</v>
      </c>
      <c r="N208" s="4" t="s">
        <v>49</v>
      </c>
      <c r="O208" s="4" t="s">
        <v>50</v>
      </c>
      <c r="P208" s="4">
        <v>190</v>
      </c>
      <c r="Q208" s="4" t="s">
        <v>1758</v>
      </c>
      <c r="R208" s="4" t="s">
        <v>1759</v>
      </c>
      <c r="S208" s="4" t="s">
        <v>50</v>
      </c>
      <c r="T208" s="4" t="s">
        <v>50</v>
      </c>
      <c r="U208" s="4" t="s">
        <v>50</v>
      </c>
      <c r="V208" s="4" t="s">
        <v>139</v>
      </c>
      <c r="W208" s="4" t="s">
        <v>54</v>
      </c>
      <c r="X208" s="4" t="s">
        <v>55</v>
      </c>
      <c r="Y208" s="4" t="s">
        <v>81</v>
      </c>
      <c r="Z208" s="4" t="s">
        <v>57</v>
      </c>
      <c r="AA208" s="4">
        <v>11</v>
      </c>
      <c r="AB208" s="4">
        <f>ROUND(I208*(1-AA208/100),-1)</f>
        <v>1960</v>
      </c>
      <c r="AC208" s="4">
        <f t="shared" si="3"/>
        <v>2200</v>
      </c>
      <c r="AD208" s="4">
        <v>17</v>
      </c>
      <c r="AE208" s="4">
        <v>15</v>
      </c>
      <c r="AF208" s="4">
        <v>9</v>
      </c>
      <c r="AG208" s="4">
        <v>45</v>
      </c>
      <c r="AH208" s="4">
        <v>325</v>
      </c>
      <c r="AI208" s="4">
        <f>ROUND(300*I208*(1+AE208/100+AF208/100),0)</f>
        <v>818400</v>
      </c>
      <c r="AJ208" s="4">
        <v>4.5</v>
      </c>
      <c r="AK208" s="4">
        <v>704</v>
      </c>
      <c r="AL208" s="4" t="s">
        <v>58</v>
      </c>
      <c r="AM208" s="4" t="s">
        <v>59</v>
      </c>
    </row>
    <row r="209" spans="1:39" ht="213.75">
      <c r="A209" s="4" t="s">
        <v>1760</v>
      </c>
      <c r="B209" s="4" t="s">
        <v>1761</v>
      </c>
      <c r="C209" s="4" t="s">
        <v>94</v>
      </c>
      <c r="D209" s="4" t="s">
        <v>1762</v>
      </c>
      <c r="E209" s="4" t="s">
        <v>1763</v>
      </c>
      <c r="F209" s="4" t="s">
        <v>75</v>
      </c>
      <c r="G209" s="4" t="s">
        <v>1764</v>
      </c>
      <c r="H209" s="4" t="s">
        <v>1765</v>
      </c>
      <c r="I209" s="4">
        <v>1850</v>
      </c>
      <c r="J209" s="4">
        <v>2850</v>
      </c>
      <c r="K209" s="4">
        <v>4300</v>
      </c>
      <c r="L209" s="4">
        <v>325</v>
      </c>
      <c r="M209" s="4" t="s">
        <v>48</v>
      </c>
      <c r="N209" s="4" t="s">
        <v>40</v>
      </c>
      <c r="O209" s="4" t="s">
        <v>50</v>
      </c>
      <c r="P209" s="4">
        <v>65</v>
      </c>
      <c r="Q209" s="4" t="s">
        <v>1766</v>
      </c>
      <c r="R209" s="4" t="s">
        <v>1767</v>
      </c>
      <c r="S209" s="4" t="s">
        <v>50</v>
      </c>
      <c r="T209" s="4" t="s">
        <v>50</v>
      </c>
      <c r="U209" s="4" t="s">
        <v>50</v>
      </c>
      <c r="V209" s="4" t="s">
        <v>187</v>
      </c>
      <c r="W209" s="4" t="s">
        <v>54</v>
      </c>
      <c r="X209" s="4" t="s">
        <v>55</v>
      </c>
      <c r="Y209" s="4" t="s">
        <v>69</v>
      </c>
      <c r="Z209" s="4" t="s">
        <v>70</v>
      </c>
      <c r="AA209" s="4">
        <v>10</v>
      </c>
      <c r="AB209" s="4">
        <f>ROUND(I209*(1-AA209/100),-1)</f>
        <v>1670</v>
      </c>
      <c r="AC209" s="4">
        <f t="shared" si="3"/>
        <v>1850</v>
      </c>
      <c r="AD209" s="4">
        <v>13</v>
      </c>
      <c r="AE209" s="4">
        <v>15</v>
      </c>
      <c r="AF209" s="4">
        <v>5</v>
      </c>
      <c r="AG209" s="4">
        <v>34</v>
      </c>
      <c r="AH209" s="4">
        <v>125</v>
      </c>
      <c r="AI209" s="4">
        <f>ROUND(300*I209*(1+AE209/100+AF209/100),0)</f>
        <v>666000</v>
      </c>
      <c r="AJ209" s="4">
        <v>4.5999999999999996</v>
      </c>
      <c r="AK209" s="4">
        <v>598</v>
      </c>
      <c r="AL209" s="4" t="s">
        <v>111</v>
      </c>
      <c r="AM209" s="4" t="s">
        <v>59</v>
      </c>
    </row>
    <row r="210" spans="1:39" ht="228">
      <c r="A210" s="4" t="s">
        <v>1768</v>
      </c>
      <c r="B210" s="4" t="s">
        <v>1769</v>
      </c>
      <c r="C210" s="4" t="s">
        <v>72</v>
      </c>
      <c r="D210" s="4" t="s">
        <v>1770</v>
      </c>
      <c r="E210" s="4" t="s">
        <v>1771</v>
      </c>
      <c r="F210" s="4" t="s">
        <v>153</v>
      </c>
      <c r="G210" s="4" t="s">
        <v>1772</v>
      </c>
      <c r="H210" s="4" t="s">
        <v>1773</v>
      </c>
      <c r="I210" s="4">
        <v>2500</v>
      </c>
      <c r="J210" s="4">
        <v>3200</v>
      </c>
      <c r="K210" s="4">
        <v>4650</v>
      </c>
      <c r="L210" s="4">
        <v>525</v>
      </c>
      <c r="M210" s="4" t="s">
        <v>48</v>
      </c>
      <c r="N210" s="4" t="s">
        <v>40</v>
      </c>
      <c r="O210" s="4" t="s">
        <v>50</v>
      </c>
      <c r="P210" s="4">
        <v>110</v>
      </c>
      <c r="Q210" s="4" t="s">
        <v>108</v>
      </c>
      <c r="R210" s="4" t="s">
        <v>1774</v>
      </c>
      <c r="S210" s="4" t="s">
        <v>50</v>
      </c>
      <c r="T210" s="4" t="s">
        <v>50</v>
      </c>
      <c r="U210" s="4" t="s">
        <v>50</v>
      </c>
      <c r="V210" s="4" t="s">
        <v>215</v>
      </c>
      <c r="W210" s="4" t="s">
        <v>54</v>
      </c>
      <c r="X210" s="4" t="s">
        <v>55</v>
      </c>
      <c r="Y210" s="4" t="s">
        <v>69</v>
      </c>
      <c r="Z210" s="4" t="s">
        <v>57</v>
      </c>
      <c r="AA210" s="4">
        <v>5</v>
      </c>
      <c r="AB210" s="4">
        <f>ROUND(I210*(1-AA210/100),-1)</f>
        <v>2380</v>
      </c>
      <c r="AC210" s="4">
        <f t="shared" si="3"/>
        <v>2500</v>
      </c>
      <c r="AD210" s="4">
        <v>19</v>
      </c>
      <c r="AE210" s="4">
        <v>15</v>
      </c>
      <c r="AF210" s="4">
        <v>7</v>
      </c>
      <c r="AG210" s="4">
        <v>45</v>
      </c>
      <c r="AH210" s="4">
        <v>175</v>
      </c>
      <c r="AI210" s="4">
        <f>ROUND(300*I210*(1+AE210/100+AF210/100),0)</f>
        <v>915000</v>
      </c>
      <c r="AJ210" s="4">
        <v>4.8</v>
      </c>
      <c r="AK210" s="4">
        <v>218</v>
      </c>
      <c r="AL210" s="4" t="s">
        <v>58</v>
      </c>
      <c r="AM210" s="4" t="s">
        <v>59</v>
      </c>
    </row>
    <row r="211" spans="1:39" ht="228">
      <c r="A211" s="4" t="s">
        <v>1775</v>
      </c>
      <c r="B211" s="4" t="s">
        <v>1776</v>
      </c>
      <c r="C211" s="4" t="s">
        <v>94</v>
      </c>
      <c r="D211" s="4" t="s">
        <v>1777</v>
      </c>
      <c r="E211" s="4" t="s">
        <v>1778</v>
      </c>
      <c r="F211" s="4" t="s">
        <v>75</v>
      </c>
      <c r="G211" s="4" t="s">
        <v>1779</v>
      </c>
      <c r="H211" s="4" t="s">
        <v>1780</v>
      </c>
      <c r="I211" s="4">
        <v>2100</v>
      </c>
      <c r="J211" s="4">
        <v>3050</v>
      </c>
      <c r="K211" s="4">
        <v>4650</v>
      </c>
      <c r="L211" s="4">
        <v>600</v>
      </c>
      <c r="M211" s="4" t="s">
        <v>48</v>
      </c>
      <c r="N211" s="4" t="s">
        <v>40</v>
      </c>
      <c r="O211" s="4" t="s">
        <v>50</v>
      </c>
      <c r="P211" s="4">
        <v>110</v>
      </c>
      <c r="Q211" s="4" t="s">
        <v>1781</v>
      </c>
      <c r="R211" s="4" t="s">
        <v>1782</v>
      </c>
      <c r="S211" s="4" t="s">
        <v>50</v>
      </c>
      <c r="T211" s="4" t="s">
        <v>50</v>
      </c>
      <c r="U211" s="4" t="s">
        <v>50</v>
      </c>
      <c r="V211" s="4" t="s">
        <v>187</v>
      </c>
      <c r="W211" s="4" t="s">
        <v>54</v>
      </c>
      <c r="X211" s="4" t="s">
        <v>55</v>
      </c>
      <c r="Y211" s="4" t="s">
        <v>69</v>
      </c>
      <c r="Z211" s="4" t="s">
        <v>70</v>
      </c>
      <c r="AA211" s="4">
        <v>11</v>
      </c>
      <c r="AB211" s="4">
        <f>ROUND(I211*(1-AA211/100),-1)</f>
        <v>1870</v>
      </c>
      <c r="AC211" s="4">
        <f t="shared" si="3"/>
        <v>2100</v>
      </c>
      <c r="AD211" s="4">
        <v>14</v>
      </c>
      <c r="AE211" s="4">
        <v>15</v>
      </c>
      <c r="AF211" s="4">
        <v>10</v>
      </c>
      <c r="AG211" s="4">
        <v>40</v>
      </c>
      <c r="AH211" s="4">
        <v>200</v>
      </c>
      <c r="AI211" s="4">
        <f>ROUND(300*I211*(1+AE211/100+AF211/100),0)</f>
        <v>787500</v>
      </c>
      <c r="AJ211" s="4">
        <v>4.5999999999999996</v>
      </c>
      <c r="AK211" s="4">
        <v>708</v>
      </c>
      <c r="AL211" s="4" t="s">
        <v>111</v>
      </c>
      <c r="AM211" s="4" t="s">
        <v>59</v>
      </c>
    </row>
    <row r="212" spans="1:39" ht="228">
      <c r="A212" s="4" t="s">
        <v>1783</v>
      </c>
      <c r="B212" s="4" t="s">
        <v>1784</v>
      </c>
      <c r="C212" s="4" t="s">
        <v>94</v>
      </c>
      <c r="D212" s="4" t="s">
        <v>1785</v>
      </c>
      <c r="E212" s="4" t="s">
        <v>1778</v>
      </c>
      <c r="F212" s="4" t="s">
        <v>75</v>
      </c>
      <c r="G212" s="4" t="s">
        <v>1786</v>
      </c>
      <c r="H212" s="4" t="s">
        <v>1787</v>
      </c>
      <c r="I212" s="4">
        <v>1950</v>
      </c>
      <c r="J212" s="4">
        <v>2850</v>
      </c>
      <c r="K212" s="4">
        <v>4650</v>
      </c>
      <c r="L212" s="4">
        <v>500</v>
      </c>
      <c r="M212" s="4" t="s">
        <v>48</v>
      </c>
      <c r="N212" s="4" t="s">
        <v>40</v>
      </c>
      <c r="O212" s="4" t="s">
        <v>50</v>
      </c>
      <c r="P212" s="4">
        <v>120</v>
      </c>
      <c r="Q212" s="4" t="s">
        <v>1788</v>
      </c>
      <c r="R212" s="4" t="s">
        <v>1789</v>
      </c>
      <c r="S212" s="4" t="s">
        <v>50</v>
      </c>
      <c r="T212" s="4" t="s">
        <v>50</v>
      </c>
      <c r="U212" s="4" t="s">
        <v>50</v>
      </c>
      <c r="V212" s="4" t="s">
        <v>187</v>
      </c>
      <c r="W212" s="4" t="s">
        <v>54</v>
      </c>
      <c r="X212" s="4" t="s">
        <v>55</v>
      </c>
      <c r="Y212" s="4" t="s">
        <v>69</v>
      </c>
      <c r="Z212" s="4" t="s">
        <v>70</v>
      </c>
      <c r="AA212" s="4">
        <v>7</v>
      </c>
      <c r="AB212" s="4">
        <f>ROUND(I212*(1-AA212/100),-1)</f>
        <v>1810</v>
      </c>
      <c r="AC212" s="4">
        <f t="shared" si="3"/>
        <v>1950</v>
      </c>
      <c r="AD212" s="4">
        <v>22</v>
      </c>
      <c r="AE212" s="4">
        <v>15</v>
      </c>
      <c r="AF212" s="4">
        <v>10</v>
      </c>
      <c r="AG212" s="4">
        <v>41</v>
      </c>
      <c r="AH212" s="4">
        <v>175</v>
      </c>
      <c r="AI212" s="4">
        <f>ROUND(300*I212*(1+AE212/100+AF212/100),0)</f>
        <v>731250</v>
      </c>
      <c r="AJ212" s="4">
        <v>4.2</v>
      </c>
      <c r="AK212" s="4">
        <v>139</v>
      </c>
      <c r="AL212" s="4" t="s">
        <v>58</v>
      </c>
      <c r="AM212" s="4" t="s">
        <v>59</v>
      </c>
    </row>
    <row r="213" spans="1:39" ht="228">
      <c r="A213" s="4" t="s">
        <v>1790</v>
      </c>
      <c r="B213" s="4" t="s">
        <v>1791</v>
      </c>
      <c r="C213" s="4" t="s">
        <v>94</v>
      </c>
      <c r="D213" s="4" t="s">
        <v>1792</v>
      </c>
      <c r="E213" s="4" t="s">
        <v>603</v>
      </c>
      <c r="F213" s="4" t="s">
        <v>65</v>
      </c>
      <c r="G213" s="4" t="s">
        <v>1793</v>
      </c>
      <c r="H213" s="4" t="s">
        <v>1794</v>
      </c>
      <c r="I213" s="4">
        <v>2000</v>
      </c>
      <c r="J213" s="4">
        <v>2750</v>
      </c>
      <c r="K213" s="4">
        <v>3850</v>
      </c>
      <c r="L213" s="4">
        <v>725</v>
      </c>
      <c r="M213" s="4" t="s">
        <v>48</v>
      </c>
      <c r="N213" s="4" t="s">
        <v>60</v>
      </c>
      <c r="O213" s="4" t="s">
        <v>50</v>
      </c>
      <c r="P213" s="4">
        <v>165</v>
      </c>
      <c r="Q213" s="4" t="s">
        <v>1795</v>
      </c>
      <c r="R213" s="4" t="s">
        <v>1796</v>
      </c>
      <c r="S213" s="4" t="s">
        <v>50</v>
      </c>
      <c r="T213" s="4" t="s">
        <v>50</v>
      </c>
      <c r="U213" s="4" t="s">
        <v>50</v>
      </c>
      <c r="V213" s="4" t="s">
        <v>809</v>
      </c>
      <c r="W213" s="4" t="s">
        <v>54</v>
      </c>
      <c r="X213" s="4" t="s">
        <v>55</v>
      </c>
      <c r="Y213" s="4" t="s">
        <v>56</v>
      </c>
      <c r="Z213" s="4" t="s">
        <v>70</v>
      </c>
      <c r="AA213" s="4">
        <v>11</v>
      </c>
      <c r="AB213" s="4">
        <f>ROUND(I213*(1-AA213/100),-1)</f>
        <v>1780</v>
      </c>
      <c r="AC213" s="4">
        <f t="shared" si="3"/>
        <v>2000</v>
      </c>
      <c r="AD213" s="4">
        <v>17</v>
      </c>
      <c r="AE213" s="4">
        <v>15</v>
      </c>
      <c r="AF213" s="4">
        <v>9</v>
      </c>
      <c r="AG213" s="4">
        <v>40</v>
      </c>
      <c r="AH213" s="4">
        <v>275</v>
      </c>
      <c r="AI213" s="4">
        <f>ROUND(300*I213*(1+AE213/100+AF213/100),0)</f>
        <v>744000</v>
      </c>
      <c r="AJ213" s="4">
        <v>4</v>
      </c>
      <c r="AK213" s="4">
        <v>587</v>
      </c>
      <c r="AL213" s="4" t="s">
        <v>111</v>
      </c>
      <c r="AM213" s="4" t="s">
        <v>59</v>
      </c>
    </row>
    <row r="214" spans="1:39" ht="213.75">
      <c r="A214" s="4" t="s">
        <v>1797</v>
      </c>
      <c r="B214" s="4" t="s">
        <v>1798</v>
      </c>
      <c r="C214" s="4" t="s">
        <v>94</v>
      </c>
      <c r="D214" s="4" t="s">
        <v>1799</v>
      </c>
      <c r="E214" s="4" t="s">
        <v>1800</v>
      </c>
      <c r="F214" s="4" t="s">
        <v>75</v>
      </c>
      <c r="G214" s="4" t="s">
        <v>1801</v>
      </c>
      <c r="H214" s="4" t="s">
        <v>1802</v>
      </c>
      <c r="I214" s="4">
        <v>2000</v>
      </c>
      <c r="J214" s="4">
        <v>2600</v>
      </c>
      <c r="K214" s="4">
        <v>4500</v>
      </c>
      <c r="L214" s="4">
        <v>475</v>
      </c>
      <c r="M214" s="4" t="s">
        <v>48</v>
      </c>
      <c r="N214" s="4" t="s">
        <v>40</v>
      </c>
      <c r="O214" s="4" t="s">
        <v>50</v>
      </c>
      <c r="P214" s="4">
        <v>90</v>
      </c>
      <c r="Q214" s="4" t="s">
        <v>1803</v>
      </c>
      <c r="R214" s="4" t="s">
        <v>1804</v>
      </c>
      <c r="S214" s="4" t="s">
        <v>50</v>
      </c>
      <c r="T214" s="4" t="s">
        <v>50</v>
      </c>
      <c r="U214" s="4" t="s">
        <v>50</v>
      </c>
      <c r="V214" s="4" t="s">
        <v>187</v>
      </c>
      <c r="W214" s="4" t="s">
        <v>54</v>
      </c>
      <c r="X214" s="4" t="s">
        <v>55</v>
      </c>
      <c r="Y214" s="4" t="s">
        <v>69</v>
      </c>
      <c r="Z214" s="4" t="s">
        <v>70</v>
      </c>
      <c r="AA214" s="4">
        <v>5</v>
      </c>
      <c r="AB214" s="4">
        <f>ROUND(I214*(1-AA214/100),-1)</f>
        <v>1900</v>
      </c>
      <c r="AC214" s="4">
        <f t="shared" si="3"/>
        <v>2000</v>
      </c>
      <c r="AD214" s="4">
        <v>10</v>
      </c>
      <c r="AE214" s="4">
        <v>15</v>
      </c>
      <c r="AF214" s="4">
        <v>9</v>
      </c>
      <c r="AG214" s="4">
        <v>43</v>
      </c>
      <c r="AH214" s="4">
        <v>150</v>
      </c>
      <c r="AI214" s="4">
        <f>ROUND(300*I214*(1+AE214/100+AF214/100),0)</f>
        <v>744000</v>
      </c>
      <c r="AJ214" s="4">
        <v>4.3</v>
      </c>
      <c r="AK214" s="4">
        <v>60</v>
      </c>
      <c r="AL214" s="4" t="s">
        <v>111</v>
      </c>
      <c r="AM214" s="4" t="s">
        <v>59</v>
      </c>
    </row>
    <row r="215" spans="1:39" ht="213.75">
      <c r="A215" s="4" t="s">
        <v>1805</v>
      </c>
      <c r="B215" s="4" t="s">
        <v>1806</v>
      </c>
      <c r="C215" s="4" t="s">
        <v>94</v>
      </c>
      <c r="D215" s="4" t="s">
        <v>1807</v>
      </c>
      <c r="E215" s="4" t="s">
        <v>1808</v>
      </c>
      <c r="F215" s="4" t="s">
        <v>65</v>
      </c>
      <c r="G215" s="4" t="s">
        <v>1809</v>
      </c>
      <c r="H215" s="4" t="s">
        <v>1810</v>
      </c>
      <c r="I215" s="4">
        <v>1700</v>
      </c>
      <c r="J215" s="4">
        <v>2200</v>
      </c>
      <c r="K215" s="4">
        <v>4150</v>
      </c>
      <c r="L215" s="4">
        <v>500</v>
      </c>
      <c r="M215" s="4" t="s">
        <v>48</v>
      </c>
      <c r="N215" s="4" t="s">
        <v>40</v>
      </c>
      <c r="O215" s="4" t="s">
        <v>50</v>
      </c>
      <c r="P215" s="4">
        <v>95</v>
      </c>
      <c r="Q215" s="4" t="s">
        <v>1811</v>
      </c>
      <c r="R215" s="4" t="s">
        <v>1812</v>
      </c>
      <c r="S215" s="4" t="s">
        <v>50</v>
      </c>
      <c r="T215" s="4" t="s">
        <v>50</v>
      </c>
      <c r="U215" s="4" t="s">
        <v>50</v>
      </c>
      <c r="V215" s="4" t="s">
        <v>608</v>
      </c>
      <c r="W215" s="4" t="s">
        <v>54</v>
      </c>
      <c r="X215" s="4" t="s">
        <v>55</v>
      </c>
      <c r="Y215" s="4" t="s">
        <v>69</v>
      </c>
      <c r="Z215" s="4" t="s">
        <v>70</v>
      </c>
      <c r="AA215" s="4">
        <v>7</v>
      </c>
      <c r="AB215" s="4">
        <f>ROUND(I215*(1-AA215/100),-1)</f>
        <v>1580</v>
      </c>
      <c r="AC215" s="4">
        <f t="shared" si="3"/>
        <v>1700</v>
      </c>
      <c r="AD215" s="4">
        <v>18</v>
      </c>
      <c r="AE215" s="4">
        <v>15</v>
      </c>
      <c r="AF215" s="4">
        <v>7</v>
      </c>
      <c r="AG215" s="4">
        <v>33</v>
      </c>
      <c r="AH215" s="4">
        <v>175</v>
      </c>
      <c r="AI215" s="4">
        <f>ROUND(300*I215*(1+AE215/100+AF215/100),0)</f>
        <v>622200</v>
      </c>
      <c r="AJ215" s="4">
        <v>3.8</v>
      </c>
      <c r="AK215" s="4">
        <v>184</v>
      </c>
      <c r="AL215" s="4" t="s">
        <v>111</v>
      </c>
      <c r="AM215" s="4" t="s">
        <v>59</v>
      </c>
    </row>
    <row r="216" spans="1:39" ht="213.75">
      <c r="A216" s="4" t="s">
        <v>1813</v>
      </c>
      <c r="B216" s="4" t="s">
        <v>1814</v>
      </c>
      <c r="C216" s="4" t="s">
        <v>94</v>
      </c>
      <c r="D216" s="4" t="s">
        <v>1815</v>
      </c>
      <c r="E216" s="4" t="s">
        <v>1816</v>
      </c>
      <c r="F216" s="4" t="s">
        <v>65</v>
      </c>
      <c r="G216" s="4" t="s">
        <v>1817</v>
      </c>
      <c r="H216" s="4" t="s">
        <v>1818</v>
      </c>
      <c r="I216" s="4">
        <v>1900</v>
      </c>
      <c r="J216" s="4">
        <v>2750</v>
      </c>
      <c r="K216" s="4">
        <v>4250</v>
      </c>
      <c r="L216" s="4">
        <v>350</v>
      </c>
      <c r="M216" s="4" t="s">
        <v>48</v>
      </c>
      <c r="N216" s="4" t="s">
        <v>40</v>
      </c>
      <c r="O216" s="4" t="s">
        <v>50</v>
      </c>
      <c r="P216" s="4">
        <v>70</v>
      </c>
      <c r="Q216" s="4" t="s">
        <v>1459</v>
      </c>
      <c r="R216" s="4" t="s">
        <v>1819</v>
      </c>
      <c r="S216" s="4" t="s">
        <v>50</v>
      </c>
      <c r="T216" s="4" t="s">
        <v>50</v>
      </c>
      <c r="U216" s="4" t="s">
        <v>50</v>
      </c>
      <c r="V216" s="4" t="s">
        <v>608</v>
      </c>
      <c r="W216" s="4" t="s">
        <v>54</v>
      </c>
      <c r="X216" s="4" t="s">
        <v>55</v>
      </c>
      <c r="Y216" s="4" t="s">
        <v>69</v>
      </c>
      <c r="Z216" s="4" t="s">
        <v>70</v>
      </c>
      <c r="AA216" s="4">
        <v>8</v>
      </c>
      <c r="AB216" s="4">
        <f>ROUND(I216*(1-AA216/100),-1)</f>
        <v>1750</v>
      </c>
      <c r="AC216" s="4">
        <f t="shared" si="3"/>
        <v>1900</v>
      </c>
      <c r="AD216" s="4">
        <v>16</v>
      </c>
      <c r="AE216" s="4">
        <v>15</v>
      </c>
      <c r="AF216" s="4">
        <v>5</v>
      </c>
      <c r="AG216" s="4">
        <v>37</v>
      </c>
      <c r="AH216" s="4">
        <v>125</v>
      </c>
      <c r="AI216" s="4">
        <f>ROUND(300*I216*(1+AE216/100+AF216/100),0)</f>
        <v>684000</v>
      </c>
      <c r="AJ216" s="4">
        <v>4.5999999999999996</v>
      </c>
      <c r="AK216" s="4">
        <v>304</v>
      </c>
      <c r="AL216" s="4" t="s">
        <v>111</v>
      </c>
      <c r="AM216" s="4" t="s">
        <v>59</v>
      </c>
    </row>
    <row r="217" spans="1:39" ht="228">
      <c r="A217" s="4" t="s">
        <v>1820</v>
      </c>
      <c r="B217" s="4" t="s">
        <v>1821</v>
      </c>
      <c r="C217" s="4" t="s">
        <v>700</v>
      </c>
      <c r="D217" s="4" t="s">
        <v>1822</v>
      </c>
      <c r="E217" s="4" t="s">
        <v>1823</v>
      </c>
      <c r="F217" s="4" t="s">
        <v>65</v>
      </c>
      <c r="G217" s="4" t="s">
        <v>1824</v>
      </c>
      <c r="H217" s="4" t="s">
        <v>1825</v>
      </c>
      <c r="I217" s="4">
        <v>1400</v>
      </c>
      <c r="J217" s="4">
        <v>1900</v>
      </c>
      <c r="K217" s="4">
        <v>2850</v>
      </c>
      <c r="L217" s="4">
        <v>550</v>
      </c>
      <c r="M217" s="4" t="s">
        <v>48</v>
      </c>
      <c r="N217" s="4" t="s">
        <v>40</v>
      </c>
      <c r="O217" s="4" t="s">
        <v>50</v>
      </c>
      <c r="P217" s="4">
        <v>110</v>
      </c>
      <c r="Q217" s="4" t="s">
        <v>1826</v>
      </c>
      <c r="R217" s="4" t="s">
        <v>1827</v>
      </c>
      <c r="S217" s="4" t="s">
        <v>50</v>
      </c>
      <c r="T217" s="4" t="s">
        <v>50</v>
      </c>
      <c r="U217" s="4" t="s">
        <v>50</v>
      </c>
      <c r="V217" s="4" t="s">
        <v>705</v>
      </c>
      <c r="W217" s="4" t="s">
        <v>54</v>
      </c>
      <c r="X217" s="4" t="s">
        <v>55</v>
      </c>
      <c r="Y217" s="4" t="s">
        <v>69</v>
      </c>
      <c r="Z217" s="4" t="s">
        <v>706</v>
      </c>
      <c r="AA217" s="4">
        <v>12</v>
      </c>
      <c r="AB217" s="4">
        <f>ROUND(I217*(1-AA217/100),-1)</f>
        <v>1230</v>
      </c>
      <c r="AC217" s="4">
        <f t="shared" si="3"/>
        <v>1400</v>
      </c>
      <c r="AD217" s="4">
        <v>12</v>
      </c>
      <c r="AE217" s="4">
        <v>15</v>
      </c>
      <c r="AF217" s="4">
        <v>10</v>
      </c>
      <c r="AG217" s="4">
        <v>30</v>
      </c>
      <c r="AH217" s="4">
        <v>225</v>
      </c>
      <c r="AI217" s="4">
        <f>ROUND(300*I217*(1+AE217/100+AF217/100),0)</f>
        <v>525000</v>
      </c>
      <c r="AJ217" s="4">
        <v>4.7</v>
      </c>
      <c r="AK217" s="4">
        <v>85</v>
      </c>
      <c r="AL217" s="4" t="s">
        <v>111</v>
      </c>
      <c r="AM217" s="4" t="s">
        <v>59</v>
      </c>
    </row>
    <row r="218" spans="1:39" ht="228">
      <c r="A218" s="4" t="s">
        <v>1828</v>
      </c>
      <c r="B218" s="4" t="s">
        <v>1829</v>
      </c>
      <c r="C218" s="4" t="s">
        <v>94</v>
      </c>
      <c r="D218" s="4" t="s">
        <v>1830</v>
      </c>
      <c r="E218" s="4" t="s">
        <v>1831</v>
      </c>
      <c r="F218" s="4" t="s">
        <v>65</v>
      </c>
      <c r="G218" s="4" t="s">
        <v>1832</v>
      </c>
      <c r="H218" s="4" t="s">
        <v>1833</v>
      </c>
      <c r="I218" s="4">
        <v>2000</v>
      </c>
      <c r="J218" s="4">
        <v>2700</v>
      </c>
      <c r="K218" s="4">
        <v>4500</v>
      </c>
      <c r="L218" s="4">
        <v>500</v>
      </c>
      <c r="M218" s="4" t="s">
        <v>48</v>
      </c>
      <c r="N218" s="4" t="s">
        <v>40</v>
      </c>
      <c r="O218" s="4" t="s">
        <v>50</v>
      </c>
      <c r="P218" s="4">
        <v>100</v>
      </c>
      <c r="Q218" s="4" t="s">
        <v>1803</v>
      </c>
      <c r="R218" s="4" t="s">
        <v>1834</v>
      </c>
      <c r="S218" s="4" t="s">
        <v>50</v>
      </c>
      <c r="T218" s="4" t="s">
        <v>50</v>
      </c>
      <c r="U218" s="4" t="s">
        <v>50</v>
      </c>
      <c r="V218" s="4" t="s">
        <v>608</v>
      </c>
      <c r="W218" s="4" t="s">
        <v>54</v>
      </c>
      <c r="X218" s="4" t="s">
        <v>55</v>
      </c>
      <c r="Y218" s="4" t="s">
        <v>69</v>
      </c>
      <c r="Z218" s="4" t="s">
        <v>70</v>
      </c>
      <c r="AA218" s="4">
        <v>12</v>
      </c>
      <c r="AB218" s="4">
        <f>ROUND(I218*(1-AA218/100),-1)</f>
        <v>1760</v>
      </c>
      <c r="AC218" s="4">
        <f t="shared" si="3"/>
        <v>2000</v>
      </c>
      <c r="AD218" s="4">
        <v>21</v>
      </c>
      <c r="AE218" s="4">
        <v>15</v>
      </c>
      <c r="AF218" s="4">
        <v>10</v>
      </c>
      <c r="AG218" s="4">
        <v>40</v>
      </c>
      <c r="AH218" s="4">
        <v>200</v>
      </c>
      <c r="AI218" s="4">
        <f>ROUND(300*I218*(1+AE218/100+AF218/100),0)</f>
        <v>750000</v>
      </c>
      <c r="AJ218" s="4">
        <v>4.7</v>
      </c>
      <c r="AK218" s="4">
        <v>739</v>
      </c>
      <c r="AL218" s="4" t="s">
        <v>111</v>
      </c>
      <c r="AM218" s="4" t="s">
        <v>59</v>
      </c>
    </row>
    <row r="219" spans="1:39" ht="228">
      <c r="A219" s="4" t="s">
        <v>1835</v>
      </c>
      <c r="B219" s="4" t="s">
        <v>1836</v>
      </c>
      <c r="C219" s="4" t="s">
        <v>72</v>
      </c>
      <c r="D219" s="4" t="s">
        <v>1837</v>
      </c>
      <c r="E219" s="4" t="s">
        <v>1838</v>
      </c>
      <c r="F219" s="4" t="s">
        <v>153</v>
      </c>
      <c r="G219" s="4" t="s">
        <v>1839</v>
      </c>
      <c r="H219" s="4" t="s">
        <v>1840</v>
      </c>
      <c r="I219" s="4">
        <v>2450</v>
      </c>
      <c r="J219" s="4">
        <v>3050</v>
      </c>
      <c r="K219" s="4">
        <v>4800</v>
      </c>
      <c r="L219" s="4">
        <v>450</v>
      </c>
      <c r="M219" s="4" t="s">
        <v>48</v>
      </c>
      <c r="N219" s="4" t="s">
        <v>40</v>
      </c>
      <c r="O219" s="4" t="s">
        <v>50</v>
      </c>
      <c r="P219" s="4">
        <v>100</v>
      </c>
      <c r="Q219" s="4" t="s">
        <v>1841</v>
      </c>
      <c r="R219" s="4" t="s">
        <v>1842</v>
      </c>
      <c r="S219" s="4" t="s">
        <v>50</v>
      </c>
      <c r="T219" s="4" t="s">
        <v>50</v>
      </c>
      <c r="U219" s="4" t="s">
        <v>50</v>
      </c>
      <c r="V219" s="4" t="s">
        <v>215</v>
      </c>
      <c r="W219" s="4" t="s">
        <v>54</v>
      </c>
      <c r="X219" s="4" t="s">
        <v>55</v>
      </c>
      <c r="Y219" s="4" t="s">
        <v>69</v>
      </c>
      <c r="Z219" s="4" t="s">
        <v>57</v>
      </c>
      <c r="AA219" s="4">
        <v>9</v>
      </c>
      <c r="AB219" s="4">
        <f>ROUND(I219*(1-AA219/100),-1)</f>
        <v>2230</v>
      </c>
      <c r="AC219" s="4">
        <f t="shared" si="3"/>
        <v>2450</v>
      </c>
      <c r="AD219" s="4">
        <v>21</v>
      </c>
      <c r="AE219" s="4">
        <v>15</v>
      </c>
      <c r="AF219" s="4">
        <v>10</v>
      </c>
      <c r="AG219" s="4">
        <v>38</v>
      </c>
      <c r="AH219" s="4">
        <v>125</v>
      </c>
      <c r="AI219" s="4">
        <f>ROUND(300*I219*(1+AE219/100+AF219/100),0)</f>
        <v>918750</v>
      </c>
      <c r="AJ219" s="4">
        <v>4.5999999999999996</v>
      </c>
      <c r="AK219" s="4">
        <v>747</v>
      </c>
      <c r="AL219" s="4" t="s">
        <v>111</v>
      </c>
      <c r="AM219" s="4" t="s">
        <v>59</v>
      </c>
    </row>
    <row r="220" spans="1:39" ht="256.5">
      <c r="A220" s="4" t="s">
        <v>1843</v>
      </c>
      <c r="B220" s="4" t="s">
        <v>1844</v>
      </c>
      <c r="C220" s="4" t="s">
        <v>72</v>
      </c>
      <c r="D220" s="4" t="s">
        <v>1845</v>
      </c>
      <c r="E220" s="4" t="s">
        <v>1846</v>
      </c>
      <c r="F220" s="4" t="s">
        <v>86</v>
      </c>
      <c r="G220" s="4" t="s">
        <v>1847</v>
      </c>
      <c r="H220" s="4" t="s">
        <v>1848</v>
      </c>
      <c r="I220" s="4">
        <v>2500</v>
      </c>
      <c r="J220" s="4">
        <v>3300</v>
      </c>
      <c r="K220" s="4">
        <v>4800</v>
      </c>
      <c r="L220" s="4">
        <v>950</v>
      </c>
      <c r="M220" s="4" t="s">
        <v>40</v>
      </c>
      <c r="N220" s="4" t="s">
        <v>60</v>
      </c>
      <c r="O220" s="4" t="s">
        <v>50</v>
      </c>
      <c r="P220" s="4">
        <v>225</v>
      </c>
      <c r="Q220" s="4" t="s">
        <v>1849</v>
      </c>
      <c r="R220" s="4" t="s">
        <v>1850</v>
      </c>
      <c r="S220" s="4" t="s">
        <v>50</v>
      </c>
      <c r="T220" s="4" t="s">
        <v>50</v>
      </c>
      <c r="U220" s="4" t="s">
        <v>50</v>
      </c>
      <c r="V220" s="4" t="s">
        <v>120</v>
      </c>
      <c r="W220" s="4" t="s">
        <v>54</v>
      </c>
      <c r="X220" s="4" t="s">
        <v>55</v>
      </c>
      <c r="Y220" s="4" t="s">
        <v>81</v>
      </c>
      <c r="Z220" s="4" t="s">
        <v>57</v>
      </c>
      <c r="AA220" s="4">
        <v>5</v>
      </c>
      <c r="AB220" s="4">
        <f>ROUND(I220*(1-AA220/100),-1)</f>
        <v>2380</v>
      </c>
      <c r="AC220" s="4">
        <f t="shared" si="3"/>
        <v>2500</v>
      </c>
      <c r="AD220" s="4">
        <v>11</v>
      </c>
      <c r="AE220" s="4">
        <v>15</v>
      </c>
      <c r="AF220" s="4">
        <v>7</v>
      </c>
      <c r="AG220" s="4">
        <v>40</v>
      </c>
      <c r="AH220" s="4">
        <v>375</v>
      </c>
      <c r="AI220" s="4">
        <f>ROUND(300*I220*(1+AE220/100+AF220/100),0)</f>
        <v>915000</v>
      </c>
      <c r="AJ220" s="4">
        <v>4.7</v>
      </c>
      <c r="AK220" s="4">
        <v>340</v>
      </c>
      <c r="AL220" s="4" t="s">
        <v>111</v>
      </c>
      <c r="AM220" s="4" t="s">
        <v>59</v>
      </c>
    </row>
    <row r="221" spans="1:39" ht="228">
      <c r="A221" s="4" t="s">
        <v>1851</v>
      </c>
      <c r="B221" s="4" t="s">
        <v>1852</v>
      </c>
      <c r="C221" s="4" t="s">
        <v>94</v>
      </c>
      <c r="D221" s="4" t="s">
        <v>1853</v>
      </c>
      <c r="E221" s="4" t="s">
        <v>1854</v>
      </c>
      <c r="F221" s="4" t="s">
        <v>75</v>
      </c>
      <c r="G221" s="4" t="s">
        <v>1855</v>
      </c>
      <c r="H221" s="4" t="s">
        <v>1856</v>
      </c>
      <c r="I221" s="4">
        <v>2000</v>
      </c>
      <c r="J221" s="4">
        <v>2500</v>
      </c>
      <c r="K221" s="4">
        <v>4050</v>
      </c>
      <c r="L221" s="4">
        <v>650</v>
      </c>
      <c r="M221" s="4" t="s">
        <v>48</v>
      </c>
      <c r="N221" s="4" t="s">
        <v>40</v>
      </c>
      <c r="O221" s="4" t="s">
        <v>50</v>
      </c>
      <c r="P221" s="4">
        <v>155</v>
      </c>
      <c r="Q221" s="4" t="s">
        <v>1857</v>
      </c>
      <c r="R221" s="4" t="s">
        <v>1858</v>
      </c>
      <c r="S221" s="4" t="s">
        <v>50</v>
      </c>
      <c r="T221" s="4" t="s">
        <v>50</v>
      </c>
      <c r="U221" s="4" t="s">
        <v>50</v>
      </c>
      <c r="V221" s="4" t="s">
        <v>148</v>
      </c>
      <c r="W221" s="4" t="s">
        <v>54</v>
      </c>
      <c r="X221" s="4" t="s">
        <v>55</v>
      </c>
      <c r="Y221" s="4" t="s">
        <v>69</v>
      </c>
      <c r="Z221" s="4" t="s">
        <v>70</v>
      </c>
      <c r="AA221" s="4">
        <v>7</v>
      </c>
      <c r="AB221" s="4">
        <f>ROUND(I221*(1-AA221/100),-1)</f>
        <v>1860</v>
      </c>
      <c r="AC221" s="4">
        <f t="shared" si="3"/>
        <v>2000</v>
      </c>
      <c r="AD221" s="4">
        <v>22</v>
      </c>
      <c r="AE221" s="4">
        <v>15</v>
      </c>
      <c r="AF221" s="4">
        <v>8</v>
      </c>
      <c r="AG221" s="4">
        <v>34</v>
      </c>
      <c r="AH221" s="4">
        <v>175</v>
      </c>
      <c r="AI221" s="4">
        <f>ROUND(300*I221*(1+AE221/100+AF221/100),0)</f>
        <v>738000</v>
      </c>
      <c r="AJ221" s="4">
        <v>4</v>
      </c>
      <c r="AK221" s="4">
        <v>629</v>
      </c>
      <c r="AL221" s="4" t="s">
        <v>111</v>
      </c>
      <c r="AM221" s="4" t="s">
        <v>59</v>
      </c>
    </row>
    <row r="222" spans="1:39" ht="228">
      <c r="A222" s="4" t="s">
        <v>1859</v>
      </c>
      <c r="B222" s="4" t="s">
        <v>1860</v>
      </c>
      <c r="C222" s="4" t="s">
        <v>94</v>
      </c>
      <c r="D222" s="4" t="s">
        <v>1861</v>
      </c>
      <c r="E222" s="4" t="s">
        <v>1862</v>
      </c>
      <c r="F222" s="4" t="s">
        <v>65</v>
      </c>
      <c r="G222" s="4" t="s">
        <v>1863</v>
      </c>
      <c r="H222" s="4" t="s">
        <v>1864</v>
      </c>
      <c r="I222" s="4">
        <v>1800</v>
      </c>
      <c r="J222" s="4">
        <v>2300</v>
      </c>
      <c r="K222" s="4">
        <v>3300</v>
      </c>
      <c r="L222" s="4">
        <v>525</v>
      </c>
      <c r="M222" s="4" t="s">
        <v>48</v>
      </c>
      <c r="N222" s="4" t="s">
        <v>40</v>
      </c>
      <c r="O222" s="4" t="s">
        <v>50</v>
      </c>
      <c r="P222" s="4">
        <v>140</v>
      </c>
      <c r="Q222" s="4" t="s">
        <v>1865</v>
      </c>
      <c r="R222" s="4" t="s">
        <v>1866</v>
      </c>
      <c r="S222" s="4" t="s">
        <v>50</v>
      </c>
      <c r="T222" s="4" t="s">
        <v>50</v>
      </c>
      <c r="U222" s="4" t="s">
        <v>50</v>
      </c>
      <c r="V222" s="4" t="s">
        <v>608</v>
      </c>
      <c r="W222" s="4" t="s">
        <v>54</v>
      </c>
      <c r="X222" s="4" t="s">
        <v>55</v>
      </c>
      <c r="Y222" s="4" t="s">
        <v>69</v>
      </c>
      <c r="Z222" s="4" t="s">
        <v>70</v>
      </c>
      <c r="AA222" s="4">
        <v>6</v>
      </c>
      <c r="AB222" s="4">
        <f>ROUND(I222*(1-AA222/100),-1)</f>
        <v>1690</v>
      </c>
      <c r="AC222" s="4">
        <f t="shared" si="3"/>
        <v>1800</v>
      </c>
      <c r="AD222" s="4">
        <v>10</v>
      </c>
      <c r="AE222" s="4">
        <v>15</v>
      </c>
      <c r="AF222" s="4">
        <v>9</v>
      </c>
      <c r="AG222" s="4">
        <v>44</v>
      </c>
      <c r="AH222" s="4">
        <v>150</v>
      </c>
      <c r="AI222" s="4">
        <f>ROUND(300*I222*(1+AE222/100+AF222/100),0)</f>
        <v>669600</v>
      </c>
      <c r="AJ222" s="4">
        <v>4.2</v>
      </c>
      <c r="AK222" s="4">
        <v>746</v>
      </c>
      <c r="AL222" s="4" t="s">
        <v>111</v>
      </c>
      <c r="AM222" s="4" t="s">
        <v>59</v>
      </c>
    </row>
    <row r="223" spans="1:39" ht="228">
      <c r="A223" s="4" t="s">
        <v>1867</v>
      </c>
      <c r="B223" s="4" t="s">
        <v>1868</v>
      </c>
      <c r="C223" s="4" t="s">
        <v>72</v>
      </c>
      <c r="D223" s="4" t="s">
        <v>1869</v>
      </c>
      <c r="E223" s="4" t="s">
        <v>1870</v>
      </c>
      <c r="F223" s="4" t="s">
        <v>75</v>
      </c>
      <c r="G223" s="4" t="s">
        <v>1871</v>
      </c>
      <c r="H223" s="4" t="s">
        <v>1872</v>
      </c>
      <c r="I223" s="4">
        <v>2200</v>
      </c>
      <c r="J223" s="4">
        <v>2900</v>
      </c>
      <c r="K223" s="4">
        <v>4050</v>
      </c>
      <c r="L223" s="4">
        <v>475</v>
      </c>
      <c r="M223" s="4" t="s">
        <v>48</v>
      </c>
      <c r="N223" s="4" t="s">
        <v>40</v>
      </c>
      <c r="O223" s="4" t="s">
        <v>50</v>
      </c>
      <c r="P223" s="4">
        <v>100</v>
      </c>
      <c r="Q223" s="4" t="s">
        <v>890</v>
      </c>
      <c r="R223" s="4" t="s">
        <v>1873</v>
      </c>
      <c r="S223" s="4" t="s">
        <v>50</v>
      </c>
      <c r="T223" s="4" t="s">
        <v>50</v>
      </c>
      <c r="U223" s="4" t="s">
        <v>50</v>
      </c>
      <c r="V223" s="4" t="s">
        <v>206</v>
      </c>
      <c r="W223" s="4" t="s">
        <v>54</v>
      </c>
      <c r="X223" s="4" t="s">
        <v>55</v>
      </c>
      <c r="Y223" s="4" t="s">
        <v>69</v>
      </c>
      <c r="Z223" s="4" t="s">
        <v>57</v>
      </c>
      <c r="AA223" s="4">
        <v>12</v>
      </c>
      <c r="AB223" s="4">
        <f>ROUND(I223*(1-AA223/100),-1)</f>
        <v>1940</v>
      </c>
      <c r="AC223" s="4">
        <f t="shared" si="3"/>
        <v>2200</v>
      </c>
      <c r="AD223" s="4">
        <v>15</v>
      </c>
      <c r="AE223" s="4">
        <v>15</v>
      </c>
      <c r="AF223" s="4">
        <v>10</v>
      </c>
      <c r="AG223" s="4">
        <v>43</v>
      </c>
      <c r="AH223" s="4">
        <v>175</v>
      </c>
      <c r="AI223" s="4">
        <f>ROUND(300*I223*(1+AE223/100+AF223/100),0)</f>
        <v>825000</v>
      </c>
      <c r="AJ223" s="4">
        <v>4.5999999999999996</v>
      </c>
      <c r="AK223" s="4">
        <v>658</v>
      </c>
      <c r="AL223" s="4" t="s">
        <v>58</v>
      </c>
      <c r="AM223" s="4" t="s">
        <v>59</v>
      </c>
    </row>
    <row r="224" spans="1:39" ht="228">
      <c r="A224" s="4" t="s">
        <v>1874</v>
      </c>
      <c r="B224" s="4" t="s">
        <v>1875</v>
      </c>
      <c r="C224" s="4" t="s">
        <v>94</v>
      </c>
      <c r="D224" s="4" t="s">
        <v>1876</v>
      </c>
      <c r="E224" s="4" t="s">
        <v>804</v>
      </c>
      <c r="F224" s="4" t="s">
        <v>65</v>
      </c>
      <c r="G224" s="4" t="s">
        <v>1877</v>
      </c>
      <c r="H224" s="4" t="s">
        <v>1878</v>
      </c>
      <c r="I224" s="4">
        <v>1800</v>
      </c>
      <c r="J224" s="4">
        <v>2750</v>
      </c>
      <c r="K224" s="4">
        <v>4850</v>
      </c>
      <c r="L224" s="4">
        <v>950</v>
      </c>
      <c r="M224" s="4" t="s">
        <v>48</v>
      </c>
      <c r="N224" s="4" t="s">
        <v>49</v>
      </c>
      <c r="O224" s="4" t="s">
        <v>50</v>
      </c>
      <c r="P224" s="4">
        <v>185</v>
      </c>
      <c r="Q224" s="4" t="s">
        <v>1879</v>
      </c>
      <c r="R224" s="4" t="s">
        <v>1880</v>
      </c>
      <c r="S224" s="4" t="s">
        <v>50</v>
      </c>
      <c r="T224" s="4" t="s">
        <v>50</v>
      </c>
      <c r="U224" s="4" t="s">
        <v>50</v>
      </c>
      <c r="V224" s="4" t="s">
        <v>809</v>
      </c>
      <c r="W224" s="4" t="s">
        <v>54</v>
      </c>
      <c r="X224" s="4" t="s">
        <v>55</v>
      </c>
      <c r="Y224" s="4" t="s">
        <v>56</v>
      </c>
      <c r="Z224" s="4" t="s">
        <v>70</v>
      </c>
      <c r="AA224" s="4">
        <v>11</v>
      </c>
      <c r="AB224" s="4">
        <f>ROUND(I224*(1-AA224/100),-1)</f>
        <v>1600</v>
      </c>
      <c r="AC224" s="4">
        <f t="shared" si="3"/>
        <v>1800</v>
      </c>
      <c r="AD224" s="4">
        <v>10</v>
      </c>
      <c r="AE224" s="4">
        <v>15</v>
      </c>
      <c r="AF224" s="4">
        <v>9</v>
      </c>
      <c r="AG224" s="4">
        <v>43</v>
      </c>
      <c r="AH224" s="4">
        <v>325</v>
      </c>
      <c r="AI224" s="4">
        <f>ROUND(300*I224*(1+AE224/100+AF224/100),0)</f>
        <v>669600</v>
      </c>
      <c r="AJ224" s="4">
        <v>4.4000000000000004</v>
      </c>
      <c r="AK224" s="4">
        <v>817</v>
      </c>
      <c r="AL224" s="4" t="s">
        <v>111</v>
      </c>
      <c r="AM224" s="4" t="s">
        <v>59</v>
      </c>
    </row>
    <row r="225" spans="1:39" ht="228">
      <c r="A225" s="4" t="s">
        <v>1881</v>
      </c>
      <c r="B225" s="4" t="s">
        <v>1882</v>
      </c>
      <c r="C225" s="4" t="s">
        <v>72</v>
      </c>
      <c r="D225" s="4" t="s">
        <v>1883</v>
      </c>
      <c r="E225" s="4" t="s">
        <v>1884</v>
      </c>
      <c r="F225" s="4" t="s">
        <v>163</v>
      </c>
      <c r="G225" s="4" t="s">
        <v>1885</v>
      </c>
      <c r="H225" s="4" t="s">
        <v>1886</v>
      </c>
      <c r="I225" s="4">
        <v>2300</v>
      </c>
      <c r="J225" s="4">
        <v>3100</v>
      </c>
      <c r="K225" s="4">
        <v>4150</v>
      </c>
      <c r="L225" s="4">
        <v>650</v>
      </c>
      <c r="M225" s="4" t="s">
        <v>48</v>
      </c>
      <c r="N225" s="4" t="s">
        <v>40</v>
      </c>
      <c r="O225" s="4" t="s">
        <v>50</v>
      </c>
      <c r="P225" s="4">
        <v>150</v>
      </c>
      <c r="Q225" s="4" t="s">
        <v>1887</v>
      </c>
      <c r="R225" s="4" t="s">
        <v>1888</v>
      </c>
      <c r="S225" s="4" t="s">
        <v>50</v>
      </c>
      <c r="T225" s="4" t="s">
        <v>50</v>
      </c>
      <c r="U225" s="4" t="s">
        <v>50</v>
      </c>
      <c r="V225" s="4" t="s">
        <v>296</v>
      </c>
      <c r="W225" s="4" t="s">
        <v>54</v>
      </c>
      <c r="X225" s="4" t="s">
        <v>55</v>
      </c>
      <c r="Y225" s="4" t="s">
        <v>169</v>
      </c>
      <c r="Z225" s="4" t="s">
        <v>57</v>
      </c>
      <c r="AA225" s="4">
        <v>7</v>
      </c>
      <c r="AB225" s="4">
        <f>ROUND(I225*(1-AA225/100),-1)</f>
        <v>2140</v>
      </c>
      <c r="AC225" s="4">
        <f t="shared" si="3"/>
        <v>2300</v>
      </c>
      <c r="AD225" s="4">
        <v>22</v>
      </c>
      <c r="AE225" s="4">
        <v>15</v>
      </c>
      <c r="AF225" s="4">
        <v>6</v>
      </c>
      <c r="AG225" s="4">
        <v>30</v>
      </c>
      <c r="AH225" s="4">
        <v>175</v>
      </c>
      <c r="AI225" s="4">
        <f>ROUND(300*I225*(1+AE225/100+AF225/100),0)</f>
        <v>834900</v>
      </c>
      <c r="AJ225" s="4">
        <v>4.9000000000000004</v>
      </c>
      <c r="AK225" s="4">
        <v>82</v>
      </c>
      <c r="AL225" s="4" t="s">
        <v>111</v>
      </c>
      <c r="AM225" s="4" t="s">
        <v>59</v>
      </c>
    </row>
    <row r="226" spans="1:39" ht="213.75">
      <c r="A226" s="4" t="s">
        <v>1889</v>
      </c>
      <c r="B226" s="4" t="s">
        <v>1890</v>
      </c>
      <c r="C226" s="4" t="s">
        <v>94</v>
      </c>
      <c r="D226" s="4" t="s">
        <v>1891</v>
      </c>
      <c r="E226" s="4" t="s">
        <v>1680</v>
      </c>
      <c r="F226" s="4" t="s">
        <v>75</v>
      </c>
      <c r="G226" s="4" t="s">
        <v>1892</v>
      </c>
      <c r="H226" s="4" t="s">
        <v>1893</v>
      </c>
      <c r="I226" s="4">
        <v>1900</v>
      </c>
      <c r="J226" s="4">
        <v>2800</v>
      </c>
      <c r="K226" s="4">
        <v>4200</v>
      </c>
      <c r="L226" s="4">
        <v>350</v>
      </c>
      <c r="M226" s="4" t="s">
        <v>48</v>
      </c>
      <c r="N226" s="4" t="s">
        <v>40</v>
      </c>
      <c r="O226" s="4" t="s">
        <v>50</v>
      </c>
      <c r="P226" s="4">
        <v>90</v>
      </c>
      <c r="Q226" s="4" t="s">
        <v>1200</v>
      </c>
      <c r="R226" s="4" t="s">
        <v>1894</v>
      </c>
      <c r="S226" s="4" t="s">
        <v>50</v>
      </c>
      <c r="T226" s="4" t="s">
        <v>50</v>
      </c>
      <c r="U226" s="4" t="s">
        <v>50</v>
      </c>
      <c r="V226" s="4" t="s">
        <v>187</v>
      </c>
      <c r="W226" s="4" t="s">
        <v>54</v>
      </c>
      <c r="X226" s="4" t="s">
        <v>55</v>
      </c>
      <c r="Y226" s="4" t="s">
        <v>69</v>
      </c>
      <c r="Z226" s="4" t="s">
        <v>70</v>
      </c>
      <c r="AA226" s="4">
        <v>11</v>
      </c>
      <c r="AB226" s="4">
        <f>ROUND(I226*(1-AA226/100),-1)</f>
        <v>1690</v>
      </c>
      <c r="AC226" s="4">
        <f t="shared" si="3"/>
        <v>1900</v>
      </c>
      <c r="AD226" s="4">
        <v>15</v>
      </c>
      <c r="AE226" s="4">
        <v>15</v>
      </c>
      <c r="AF226" s="4">
        <v>8</v>
      </c>
      <c r="AG226" s="4">
        <v>32</v>
      </c>
      <c r="AH226" s="4">
        <v>125</v>
      </c>
      <c r="AI226" s="4">
        <f>ROUND(300*I226*(1+AE226/100+AF226/100),0)</f>
        <v>701100</v>
      </c>
      <c r="AJ226" s="4">
        <v>3.8</v>
      </c>
      <c r="AK226" s="4">
        <v>477</v>
      </c>
      <c r="AL226" s="4" t="s">
        <v>111</v>
      </c>
      <c r="AM226" s="4" t="s">
        <v>59</v>
      </c>
    </row>
    <row r="227" spans="1:39" ht="228">
      <c r="A227" s="4" t="s">
        <v>1895</v>
      </c>
      <c r="B227" s="4" t="s">
        <v>1896</v>
      </c>
      <c r="C227" s="4" t="s">
        <v>72</v>
      </c>
      <c r="D227" s="4" t="s">
        <v>1897</v>
      </c>
      <c r="E227" s="4" t="s">
        <v>1898</v>
      </c>
      <c r="F227" s="4" t="s">
        <v>282</v>
      </c>
      <c r="G227" s="4" t="s">
        <v>1899</v>
      </c>
      <c r="H227" s="4" t="s">
        <v>1900</v>
      </c>
      <c r="I227" s="4">
        <v>2500</v>
      </c>
      <c r="J227" s="4">
        <v>3350</v>
      </c>
      <c r="K227" s="4">
        <v>5100</v>
      </c>
      <c r="L227" s="4">
        <v>500</v>
      </c>
      <c r="M227" s="4" t="s">
        <v>48</v>
      </c>
      <c r="N227" s="4" t="s">
        <v>40</v>
      </c>
      <c r="O227" s="4" t="s">
        <v>50</v>
      </c>
      <c r="P227" s="4">
        <v>130</v>
      </c>
      <c r="Q227" s="4" t="s">
        <v>1901</v>
      </c>
      <c r="R227" s="4" t="s">
        <v>1902</v>
      </c>
      <c r="S227" s="4" t="s">
        <v>50</v>
      </c>
      <c r="T227" s="4" t="s">
        <v>50</v>
      </c>
      <c r="U227" s="4" t="s">
        <v>50</v>
      </c>
      <c r="V227" s="4" t="s">
        <v>1288</v>
      </c>
      <c r="W227" s="4" t="s">
        <v>54</v>
      </c>
      <c r="X227" s="4" t="s">
        <v>55</v>
      </c>
      <c r="Y227" s="4" t="s">
        <v>69</v>
      </c>
      <c r="Z227" s="4" t="s">
        <v>57</v>
      </c>
      <c r="AA227" s="4">
        <v>12</v>
      </c>
      <c r="AB227" s="4">
        <f>ROUND(I227*(1-AA227/100),-1)</f>
        <v>2200</v>
      </c>
      <c r="AC227" s="4">
        <f t="shared" si="3"/>
        <v>2500</v>
      </c>
      <c r="AD227" s="4">
        <v>10</v>
      </c>
      <c r="AE227" s="4">
        <v>15</v>
      </c>
      <c r="AF227" s="4">
        <v>6</v>
      </c>
      <c r="AG227" s="4">
        <v>43</v>
      </c>
      <c r="AH227" s="4">
        <v>175</v>
      </c>
      <c r="AI227" s="4">
        <f>ROUND(300*I227*(1+AE227/100+AF227/100),0)</f>
        <v>907500</v>
      </c>
      <c r="AJ227" s="4">
        <v>4.8</v>
      </c>
      <c r="AK227" s="4">
        <v>280</v>
      </c>
      <c r="AL227" s="4" t="s">
        <v>111</v>
      </c>
      <c r="AM227" s="4" t="s">
        <v>59</v>
      </c>
    </row>
    <row r="228" spans="1:39" ht="228">
      <c r="A228" s="4" t="s">
        <v>1903</v>
      </c>
      <c r="B228" s="4" t="s">
        <v>1904</v>
      </c>
      <c r="C228" s="4" t="s">
        <v>72</v>
      </c>
      <c r="D228" s="4" t="s">
        <v>1905</v>
      </c>
      <c r="E228" s="4" t="s">
        <v>975</v>
      </c>
      <c r="F228" s="4" t="s">
        <v>163</v>
      </c>
      <c r="G228" s="4" t="s">
        <v>1906</v>
      </c>
      <c r="H228" s="4" t="s">
        <v>1907</v>
      </c>
      <c r="I228" s="4">
        <v>2300</v>
      </c>
      <c r="J228" s="4">
        <v>2750</v>
      </c>
      <c r="K228" s="4">
        <v>3700</v>
      </c>
      <c r="L228" s="4">
        <v>550</v>
      </c>
      <c r="M228" s="4" t="s">
        <v>48</v>
      </c>
      <c r="N228" s="4" t="s">
        <v>40</v>
      </c>
      <c r="O228" s="4" t="s">
        <v>50</v>
      </c>
      <c r="P228" s="4">
        <v>125</v>
      </c>
      <c r="Q228" s="4" t="s">
        <v>1908</v>
      </c>
      <c r="R228" s="4" t="s">
        <v>1909</v>
      </c>
      <c r="S228" s="4" t="s">
        <v>50</v>
      </c>
      <c r="T228" s="4" t="s">
        <v>50</v>
      </c>
      <c r="U228" s="4" t="s">
        <v>50</v>
      </c>
      <c r="V228" s="4" t="s">
        <v>296</v>
      </c>
      <c r="W228" s="4" t="s">
        <v>54</v>
      </c>
      <c r="X228" s="4" t="s">
        <v>55</v>
      </c>
      <c r="Y228" s="4" t="s">
        <v>169</v>
      </c>
      <c r="Z228" s="4" t="s">
        <v>57</v>
      </c>
      <c r="AA228" s="4">
        <v>8</v>
      </c>
      <c r="AB228" s="4">
        <f>ROUND(I228*(1-AA228/100),-1)</f>
        <v>2120</v>
      </c>
      <c r="AC228" s="4">
        <f t="shared" si="3"/>
        <v>2300</v>
      </c>
      <c r="AD228" s="4">
        <v>13</v>
      </c>
      <c r="AE228" s="4">
        <v>15</v>
      </c>
      <c r="AF228" s="4">
        <v>10</v>
      </c>
      <c r="AG228" s="4">
        <v>34</v>
      </c>
      <c r="AH228" s="4">
        <v>175</v>
      </c>
      <c r="AI228" s="4">
        <f>ROUND(300*I228*(1+AE228/100+AF228/100),0)</f>
        <v>862500</v>
      </c>
      <c r="AJ228" s="4">
        <v>4.5999999999999996</v>
      </c>
      <c r="AK228" s="4">
        <v>720</v>
      </c>
      <c r="AL228" s="4" t="s">
        <v>111</v>
      </c>
      <c r="AM228" s="4" t="s">
        <v>59</v>
      </c>
    </row>
    <row r="229" spans="1:39" ht="228">
      <c r="A229" s="4" t="s">
        <v>1910</v>
      </c>
      <c r="B229" s="4" t="s">
        <v>1911</v>
      </c>
      <c r="C229" s="4" t="s">
        <v>94</v>
      </c>
      <c r="D229" s="4" t="s">
        <v>1912</v>
      </c>
      <c r="E229" s="4" t="s">
        <v>1913</v>
      </c>
      <c r="F229" s="4" t="s">
        <v>192</v>
      </c>
      <c r="G229" s="4" t="s">
        <v>1914</v>
      </c>
      <c r="H229" s="4" t="s">
        <v>1915</v>
      </c>
      <c r="I229" s="4">
        <v>1750</v>
      </c>
      <c r="J229" s="4">
        <v>2400</v>
      </c>
      <c r="K229" s="4">
        <v>3600</v>
      </c>
      <c r="L229" s="4">
        <v>525</v>
      </c>
      <c r="M229" s="4" t="s">
        <v>48</v>
      </c>
      <c r="N229" s="4" t="s">
        <v>40</v>
      </c>
      <c r="O229" s="4" t="s">
        <v>50</v>
      </c>
      <c r="P229" s="4">
        <v>110</v>
      </c>
      <c r="Q229" s="4" t="s">
        <v>1075</v>
      </c>
      <c r="R229" s="4" t="s">
        <v>1916</v>
      </c>
      <c r="S229" s="4" t="s">
        <v>50</v>
      </c>
      <c r="T229" s="4" t="s">
        <v>50</v>
      </c>
      <c r="U229" s="4" t="s">
        <v>50</v>
      </c>
      <c r="V229" s="4" t="s">
        <v>197</v>
      </c>
      <c r="W229" s="4" t="s">
        <v>54</v>
      </c>
      <c r="X229" s="4" t="s">
        <v>55</v>
      </c>
      <c r="Y229" s="4" t="s">
        <v>69</v>
      </c>
      <c r="Z229" s="4" t="s">
        <v>70</v>
      </c>
      <c r="AA229" s="4">
        <v>7</v>
      </c>
      <c r="AB229" s="4">
        <f>ROUND(I229*(1-AA229/100),-1)</f>
        <v>1630</v>
      </c>
      <c r="AC229" s="4">
        <f t="shared" si="3"/>
        <v>1750</v>
      </c>
      <c r="AD229" s="4">
        <v>20</v>
      </c>
      <c r="AE229" s="4">
        <v>15</v>
      </c>
      <c r="AF229" s="4">
        <v>5</v>
      </c>
      <c r="AG229" s="4">
        <v>44</v>
      </c>
      <c r="AH229" s="4">
        <v>175</v>
      </c>
      <c r="AI229" s="4">
        <f>ROUND(300*I229*(1+AE229/100+AF229/100),0)</f>
        <v>630000</v>
      </c>
      <c r="AJ229" s="4">
        <v>4</v>
      </c>
      <c r="AK229" s="4">
        <v>666</v>
      </c>
      <c r="AL229" s="4" t="s">
        <v>111</v>
      </c>
      <c r="AM229" s="4" t="s">
        <v>59</v>
      </c>
    </row>
    <row r="230" spans="1:39" ht="213.75">
      <c r="A230" s="4" t="s">
        <v>1917</v>
      </c>
      <c r="B230" s="4" t="s">
        <v>1918</v>
      </c>
      <c r="C230" s="4" t="s">
        <v>94</v>
      </c>
      <c r="D230" s="4" t="s">
        <v>1919</v>
      </c>
      <c r="E230" s="4" t="s">
        <v>1920</v>
      </c>
      <c r="F230" s="4" t="s">
        <v>445</v>
      </c>
      <c r="G230" s="4" t="s">
        <v>1921</v>
      </c>
      <c r="H230" s="4" t="s">
        <v>1922</v>
      </c>
      <c r="I230" s="4">
        <v>1850</v>
      </c>
      <c r="J230" s="4">
        <v>2500</v>
      </c>
      <c r="K230" s="4">
        <v>4500</v>
      </c>
      <c r="L230" s="4">
        <v>375</v>
      </c>
      <c r="M230" s="4" t="s">
        <v>48</v>
      </c>
      <c r="N230" s="4" t="s">
        <v>40</v>
      </c>
      <c r="O230" s="4" t="s">
        <v>50</v>
      </c>
      <c r="P230" s="4">
        <v>65</v>
      </c>
      <c r="Q230" s="4" t="s">
        <v>1923</v>
      </c>
      <c r="R230" s="4" t="s">
        <v>1924</v>
      </c>
      <c r="S230" s="4" t="s">
        <v>50</v>
      </c>
      <c r="T230" s="4" t="s">
        <v>50</v>
      </c>
      <c r="U230" s="4" t="s">
        <v>50</v>
      </c>
      <c r="V230" s="4" t="s">
        <v>800</v>
      </c>
      <c r="W230" s="4" t="s">
        <v>54</v>
      </c>
      <c r="X230" s="4" t="s">
        <v>55</v>
      </c>
      <c r="Y230" s="4" t="s">
        <v>69</v>
      </c>
      <c r="Z230" s="4" t="s">
        <v>70</v>
      </c>
      <c r="AA230" s="4">
        <v>7</v>
      </c>
      <c r="AB230" s="4">
        <f>ROUND(I230*(1-AA230/100),-1)</f>
        <v>1720</v>
      </c>
      <c r="AC230" s="4">
        <f t="shared" si="3"/>
        <v>1850</v>
      </c>
      <c r="AD230" s="4">
        <v>19</v>
      </c>
      <c r="AE230" s="4">
        <v>15</v>
      </c>
      <c r="AF230" s="4">
        <v>10</v>
      </c>
      <c r="AG230" s="4">
        <v>31</v>
      </c>
      <c r="AH230" s="4">
        <v>150</v>
      </c>
      <c r="AI230" s="4">
        <f>ROUND(300*I230*(1+AE230/100+AF230/100),0)</f>
        <v>693750</v>
      </c>
      <c r="AJ230" s="4">
        <v>4.4000000000000004</v>
      </c>
      <c r="AK230" s="4">
        <v>39</v>
      </c>
      <c r="AL230" s="4" t="s">
        <v>111</v>
      </c>
      <c r="AM230" s="4" t="s">
        <v>59</v>
      </c>
    </row>
    <row r="231" spans="1:39" ht="228">
      <c r="A231" s="4" t="s">
        <v>1925</v>
      </c>
      <c r="B231" s="4" t="s">
        <v>1926</v>
      </c>
      <c r="C231" s="4" t="s">
        <v>72</v>
      </c>
      <c r="D231" s="4" t="s">
        <v>1927</v>
      </c>
      <c r="E231" s="4" t="s">
        <v>1928</v>
      </c>
      <c r="F231" s="4" t="s">
        <v>86</v>
      </c>
      <c r="G231" s="4" t="s">
        <v>1929</v>
      </c>
      <c r="H231" s="4" t="s">
        <v>1930</v>
      </c>
      <c r="I231" s="4">
        <v>2300</v>
      </c>
      <c r="J231" s="4">
        <v>3250</v>
      </c>
      <c r="K231" s="4">
        <v>5350</v>
      </c>
      <c r="L231" s="4">
        <v>600</v>
      </c>
      <c r="M231" s="4" t="s">
        <v>48</v>
      </c>
      <c r="N231" s="4" t="s">
        <v>60</v>
      </c>
      <c r="O231" s="4" t="s">
        <v>50</v>
      </c>
      <c r="P231" s="4">
        <v>125</v>
      </c>
      <c r="Q231" s="4" t="s">
        <v>1931</v>
      </c>
      <c r="R231" s="4" t="s">
        <v>1932</v>
      </c>
      <c r="S231" s="4" t="s">
        <v>50</v>
      </c>
      <c r="T231" s="4" t="s">
        <v>50</v>
      </c>
      <c r="U231" s="4" t="s">
        <v>50</v>
      </c>
      <c r="V231" s="4" t="s">
        <v>526</v>
      </c>
      <c r="W231" s="4" t="s">
        <v>54</v>
      </c>
      <c r="X231" s="4" t="s">
        <v>55</v>
      </c>
      <c r="Y231" s="4" t="s">
        <v>56</v>
      </c>
      <c r="Z231" s="4" t="s">
        <v>57</v>
      </c>
      <c r="AA231" s="4">
        <v>5</v>
      </c>
      <c r="AB231" s="4">
        <f>ROUND(I231*(1-AA231/100),-1)</f>
        <v>2190</v>
      </c>
      <c r="AC231" s="4">
        <f t="shared" si="3"/>
        <v>2300</v>
      </c>
      <c r="AD231" s="4">
        <v>19</v>
      </c>
      <c r="AE231" s="4">
        <v>15</v>
      </c>
      <c r="AF231" s="4">
        <v>5</v>
      </c>
      <c r="AG231" s="4">
        <v>32</v>
      </c>
      <c r="AH231" s="4">
        <v>225</v>
      </c>
      <c r="AI231" s="4">
        <f>ROUND(300*I231*(1+AE231/100+AF231/100),0)</f>
        <v>828000</v>
      </c>
      <c r="AJ231" s="4">
        <v>4.5</v>
      </c>
      <c r="AK231" s="4">
        <v>467</v>
      </c>
      <c r="AL231" s="4" t="s">
        <v>111</v>
      </c>
      <c r="AM231" s="4" t="s">
        <v>59</v>
      </c>
    </row>
    <row r="232" spans="1:39" ht="256.5">
      <c r="A232" s="4" t="s">
        <v>1933</v>
      </c>
      <c r="B232" s="4" t="s">
        <v>1934</v>
      </c>
      <c r="C232" s="4" t="s">
        <v>72</v>
      </c>
      <c r="D232" s="4" t="s">
        <v>1935</v>
      </c>
      <c r="E232" s="4" t="s">
        <v>763</v>
      </c>
      <c r="F232" s="4" t="s">
        <v>255</v>
      </c>
      <c r="G232" s="4" t="s">
        <v>1936</v>
      </c>
      <c r="H232" s="4" t="s">
        <v>1937</v>
      </c>
      <c r="I232" s="4">
        <v>2300</v>
      </c>
      <c r="J232" s="4">
        <v>2750</v>
      </c>
      <c r="K232" s="4">
        <v>4250</v>
      </c>
      <c r="L232" s="4">
        <v>525</v>
      </c>
      <c r="M232" s="4" t="s">
        <v>40</v>
      </c>
      <c r="N232" s="4" t="s">
        <v>40</v>
      </c>
      <c r="O232" s="4" t="s">
        <v>50</v>
      </c>
      <c r="P232" s="4">
        <v>125</v>
      </c>
      <c r="Q232" s="4" t="s">
        <v>248</v>
      </c>
      <c r="R232" s="4" t="s">
        <v>1938</v>
      </c>
      <c r="S232" s="4" t="s">
        <v>50</v>
      </c>
      <c r="T232" s="4" t="s">
        <v>50</v>
      </c>
      <c r="U232" s="4" t="s">
        <v>50</v>
      </c>
      <c r="V232" s="4" t="s">
        <v>260</v>
      </c>
      <c r="W232" s="4" t="s">
        <v>54</v>
      </c>
      <c r="X232" s="4" t="s">
        <v>55</v>
      </c>
      <c r="Y232" s="4" t="s">
        <v>81</v>
      </c>
      <c r="Z232" s="4" t="s">
        <v>57</v>
      </c>
      <c r="AA232" s="4">
        <v>11</v>
      </c>
      <c r="AB232" s="4">
        <f>ROUND(I232*(1-AA232/100),-1)</f>
        <v>2050</v>
      </c>
      <c r="AC232" s="4">
        <f t="shared" si="3"/>
        <v>2300</v>
      </c>
      <c r="AD232" s="4">
        <v>17</v>
      </c>
      <c r="AE232" s="4">
        <v>15</v>
      </c>
      <c r="AF232" s="4">
        <v>10</v>
      </c>
      <c r="AG232" s="4">
        <v>30</v>
      </c>
      <c r="AH232" s="4">
        <v>175</v>
      </c>
      <c r="AI232" s="4">
        <f>ROUND(300*I232*(1+AE232/100+AF232/100),0)</f>
        <v>862500</v>
      </c>
      <c r="AJ232" s="4">
        <v>4.7</v>
      </c>
      <c r="AK232" s="4">
        <v>98</v>
      </c>
      <c r="AL232" s="4" t="s">
        <v>111</v>
      </c>
      <c r="AM232" s="4" t="s">
        <v>59</v>
      </c>
    </row>
    <row r="233" spans="1:39" ht="228">
      <c r="A233" s="4" t="s">
        <v>1939</v>
      </c>
      <c r="B233" s="4" t="s">
        <v>1940</v>
      </c>
      <c r="C233" s="4" t="s">
        <v>94</v>
      </c>
      <c r="D233" s="4" t="s">
        <v>1941</v>
      </c>
      <c r="E233" s="4" t="s">
        <v>1942</v>
      </c>
      <c r="F233" s="4" t="s">
        <v>65</v>
      </c>
      <c r="G233" s="4" t="s">
        <v>1943</v>
      </c>
      <c r="H233" s="4" t="s">
        <v>1944</v>
      </c>
      <c r="I233" s="4">
        <v>1850</v>
      </c>
      <c r="J233" s="4">
        <v>2850</v>
      </c>
      <c r="K233" s="4">
        <v>4600</v>
      </c>
      <c r="L233" s="4">
        <v>675</v>
      </c>
      <c r="M233" s="4" t="s">
        <v>48</v>
      </c>
      <c r="N233" s="4" t="s">
        <v>60</v>
      </c>
      <c r="O233" s="4" t="s">
        <v>50</v>
      </c>
      <c r="P233" s="4">
        <v>150</v>
      </c>
      <c r="Q233" s="4" t="s">
        <v>1945</v>
      </c>
      <c r="R233" s="4" t="s">
        <v>1946</v>
      </c>
      <c r="S233" s="4" t="s">
        <v>50</v>
      </c>
      <c r="T233" s="4" t="s">
        <v>50</v>
      </c>
      <c r="U233" s="4" t="s">
        <v>50</v>
      </c>
      <c r="V233" s="4" t="s">
        <v>649</v>
      </c>
      <c r="W233" s="4" t="s">
        <v>54</v>
      </c>
      <c r="X233" s="4" t="s">
        <v>55</v>
      </c>
      <c r="Y233" s="4" t="s">
        <v>56</v>
      </c>
      <c r="Z233" s="4" t="s">
        <v>70</v>
      </c>
      <c r="AA233" s="4">
        <v>8</v>
      </c>
      <c r="AB233" s="4">
        <f>ROUND(I233*(1-AA233/100),-1)</f>
        <v>1700</v>
      </c>
      <c r="AC233" s="4">
        <f t="shared" si="3"/>
        <v>1850</v>
      </c>
      <c r="AD233" s="4">
        <v>12</v>
      </c>
      <c r="AE233" s="4">
        <v>15</v>
      </c>
      <c r="AF233" s="4">
        <v>6</v>
      </c>
      <c r="AG233" s="4">
        <v>43</v>
      </c>
      <c r="AH233" s="4">
        <v>250</v>
      </c>
      <c r="AI233" s="4">
        <f>ROUND(300*I233*(1+AE233/100+AF233/100),0)</f>
        <v>671550</v>
      </c>
      <c r="AJ233" s="4">
        <v>4.4000000000000004</v>
      </c>
      <c r="AK233" s="4">
        <v>499</v>
      </c>
      <c r="AL233" s="4" t="s">
        <v>58</v>
      </c>
      <c r="AM233" s="4" t="s">
        <v>59</v>
      </c>
    </row>
    <row r="234" spans="1:39" ht="228">
      <c r="A234" s="4" t="s">
        <v>1947</v>
      </c>
      <c r="B234" s="4" t="s">
        <v>1948</v>
      </c>
      <c r="C234" s="4" t="s">
        <v>94</v>
      </c>
      <c r="D234" s="4" t="s">
        <v>1949</v>
      </c>
      <c r="E234" s="4" t="s">
        <v>1950</v>
      </c>
      <c r="F234" s="4" t="s">
        <v>75</v>
      </c>
      <c r="G234" s="4" t="s">
        <v>1951</v>
      </c>
      <c r="H234" s="4" t="s">
        <v>1952</v>
      </c>
      <c r="I234" s="4">
        <v>1950</v>
      </c>
      <c r="J234" s="4">
        <v>2850</v>
      </c>
      <c r="K234" s="4">
        <v>4600</v>
      </c>
      <c r="L234" s="4">
        <v>625</v>
      </c>
      <c r="M234" s="4" t="s">
        <v>48</v>
      </c>
      <c r="N234" s="4" t="s">
        <v>40</v>
      </c>
      <c r="O234" s="4" t="s">
        <v>50</v>
      </c>
      <c r="P234" s="4">
        <v>140</v>
      </c>
      <c r="Q234" s="4" t="s">
        <v>1953</v>
      </c>
      <c r="R234" s="4" t="s">
        <v>1954</v>
      </c>
      <c r="S234" s="4" t="s">
        <v>50</v>
      </c>
      <c r="T234" s="4" t="s">
        <v>50</v>
      </c>
      <c r="U234" s="4" t="s">
        <v>50</v>
      </c>
      <c r="V234" s="4" t="s">
        <v>187</v>
      </c>
      <c r="W234" s="4" t="s">
        <v>54</v>
      </c>
      <c r="X234" s="4" t="s">
        <v>55</v>
      </c>
      <c r="Y234" s="4" t="s">
        <v>69</v>
      </c>
      <c r="Z234" s="4" t="s">
        <v>70</v>
      </c>
      <c r="AA234" s="4">
        <v>11</v>
      </c>
      <c r="AB234" s="4">
        <f>ROUND(I234*(1-AA234/100),-1)</f>
        <v>1740</v>
      </c>
      <c r="AC234" s="4">
        <f t="shared" si="3"/>
        <v>1950</v>
      </c>
      <c r="AD234" s="4">
        <v>16</v>
      </c>
      <c r="AE234" s="4">
        <v>15</v>
      </c>
      <c r="AF234" s="4">
        <v>6</v>
      </c>
      <c r="AG234" s="4">
        <v>32</v>
      </c>
      <c r="AH234" s="4">
        <v>200</v>
      </c>
      <c r="AI234" s="4">
        <f>ROUND(300*I234*(1+AE234/100+AF234/100),0)</f>
        <v>707850</v>
      </c>
      <c r="AJ234" s="4">
        <v>4.3</v>
      </c>
      <c r="AK234" s="4">
        <v>160</v>
      </c>
      <c r="AL234" s="4" t="s">
        <v>111</v>
      </c>
      <c r="AM234" s="4" t="s">
        <v>59</v>
      </c>
    </row>
    <row r="235" spans="1:39" ht="228">
      <c r="A235" s="4" t="s">
        <v>1955</v>
      </c>
      <c r="B235" s="4" t="s">
        <v>1956</v>
      </c>
      <c r="C235" s="4" t="s">
        <v>72</v>
      </c>
      <c r="D235" s="4" t="s">
        <v>1957</v>
      </c>
      <c r="E235" s="4" t="s">
        <v>975</v>
      </c>
      <c r="F235" s="4" t="s">
        <v>163</v>
      </c>
      <c r="G235" s="4" t="s">
        <v>1958</v>
      </c>
      <c r="H235" s="4" t="s">
        <v>1959</v>
      </c>
      <c r="I235" s="4">
        <v>2250</v>
      </c>
      <c r="J235" s="4">
        <v>3050</v>
      </c>
      <c r="K235" s="4">
        <v>4650</v>
      </c>
      <c r="L235" s="4">
        <v>900</v>
      </c>
      <c r="M235" s="4" t="s">
        <v>48</v>
      </c>
      <c r="N235" s="4" t="s">
        <v>60</v>
      </c>
      <c r="O235" s="4" t="s">
        <v>50</v>
      </c>
      <c r="P235" s="4">
        <v>225</v>
      </c>
      <c r="Q235" s="4" t="s">
        <v>1960</v>
      </c>
      <c r="R235" s="4" t="s">
        <v>1961</v>
      </c>
      <c r="S235" s="4" t="s">
        <v>50</v>
      </c>
      <c r="T235" s="4" t="s">
        <v>50</v>
      </c>
      <c r="U235" s="4" t="s">
        <v>50</v>
      </c>
      <c r="V235" s="4" t="s">
        <v>391</v>
      </c>
      <c r="W235" s="4" t="s">
        <v>54</v>
      </c>
      <c r="X235" s="4" t="s">
        <v>55</v>
      </c>
      <c r="Y235" s="4" t="s">
        <v>169</v>
      </c>
      <c r="Z235" s="4" t="s">
        <v>57</v>
      </c>
      <c r="AA235" s="4">
        <v>6</v>
      </c>
      <c r="AB235" s="4">
        <f>ROUND(I235*(1-AA235/100),-1)</f>
        <v>2120</v>
      </c>
      <c r="AC235" s="4">
        <f t="shared" si="3"/>
        <v>2250</v>
      </c>
      <c r="AD235" s="4">
        <v>10</v>
      </c>
      <c r="AE235" s="4">
        <v>15</v>
      </c>
      <c r="AF235" s="4">
        <v>6</v>
      </c>
      <c r="AG235" s="4">
        <v>43</v>
      </c>
      <c r="AH235" s="4">
        <v>350</v>
      </c>
      <c r="AI235" s="4">
        <f>ROUND(300*I235*(1+AE235/100+AF235/100),0)</f>
        <v>816750</v>
      </c>
      <c r="AJ235" s="4">
        <v>4.9000000000000004</v>
      </c>
      <c r="AK235" s="4">
        <v>639</v>
      </c>
      <c r="AL235" s="4" t="s">
        <v>111</v>
      </c>
      <c r="AM235" s="4" t="s">
        <v>59</v>
      </c>
    </row>
    <row r="236" spans="1:39" ht="228">
      <c r="A236" s="4" t="s">
        <v>1962</v>
      </c>
      <c r="B236" s="4" t="s">
        <v>1963</v>
      </c>
      <c r="C236" s="4" t="s">
        <v>94</v>
      </c>
      <c r="D236" s="4" t="s">
        <v>1964</v>
      </c>
      <c r="E236" s="4" t="s">
        <v>1965</v>
      </c>
      <c r="F236" s="4" t="s">
        <v>75</v>
      </c>
      <c r="G236" s="4" t="s">
        <v>1966</v>
      </c>
      <c r="H236" s="4" t="s">
        <v>1967</v>
      </c>
      <c r="I236" s="4">
        <v>2000</v>
      </c>
      <c r="J236" s="4">
        <v>2750</v>
      </c>
      <c r="K236" s="4">
        <v>3800</v>
      </c>
      <c r="L236" s="4">
        <v>550</v>
      </c>
      <c r="M236" s="4" t="s">
        <v>48</v>
      </c>
      <c r="N236" s="4" t="s">
        <v>40</v>
      </c>
      <c r="O236" s="4" t="s">
        <v>50</v>
      </c>
      <c r="P236" s="4">
        <v>115</v>
      </c>
      <c r="Q236" s="4" t="s">
        <v>1413</v>
      </c>
      <c r="R236" s="4" t="s">
        <v>1968</v>
      </c>
      <c r="S236" s="4" t="s">
        <v>50</v>
      </c>
      <c r="T236" s="4" t="s">
        <v>50</v>
      </c>
      <c r="U236" s="4" t="s">
        <v>50</v>
      </c>
      <c r="V236" s="4" t="s">
        <v>187</v>
      </c>
      <c r="W236" s="4" t="s">
        <v>54</v>
      </c>
      <c r="X236" s="4" t="s">
        <v>55</v>
      </c>
      <c r="Y236" s="4" t="s">
        <v>69</v>
      </c>
      <c r="Z236" s="4" t="s">
        <v>70</v>
      </c>
      <c r="AA236" s="4">
        <v>5</v>
      </c>
      <c r="AB236" s="4">
        <f>ROUND(I236*(1-AA236/100),-1)</f>
        <v>1900</v>
      </c>
      <c r="AC236" s="4">
        <f t="shared" si="3"/>
        <v>2000</v>
      </c>
      <c r="AD236" s="4">
        <v>21</v>
      </c>
      <c r="AE236" s="4">
        <v>15</v>
      </c>
      <c r="AF236" s="4">
        <v>8</v>
      </c>
      <c r="AG236" s="4">
        <v>45</v>
      </c>
      <c r="AH236" s="4">
        <v>200</v>
      </c>
      <c r="AI236" s="4">
        <f>ROUND(300*I236*(1+AE236/100+AF236/100),0)</f>
        <v>738000</v>
      </c>
      <c r="AJ236" s="4">
        <v>4.3</v>
      </c>
      <c r="AK236" s="4">
        <v>433</v>
      </c>
      <c r="AL236" s="4" t="s">
        <v>111</v>
      </c>
      <c r="AM236" s="4" t="s">
        <v>59</v>
      </c>
    </row>
    <row r="237" spans="1:39" ht="228">
      <c r="A237" s="4" t="s">
        <v>1969</v>
      </c>
      <c r="B237" s="4" t="s">
        <v>1970</v>
      </c>
      <c r="C237" s="4" t="s">
        <v>72</v>
      </c>
      <c r="D237" s="4" t="s">
        <v>1971</v>
      </c>
      <c r="E237" s="4" t="s">
        <v>1972</v>
      </c>
      <c r="F237" s="4" t="s">
        <v>75</v>
      </c>
      <c r="G237" s="4" t="s">
        <v>1973</v>
      </c>
      <c r="H237" s="4" t="s">
        <v>1974</v>
      </c>
      <c r="I237" s="4">
        <v>2350</v>
      </c>
      <c r="J237" s="4">
        <v>3100</v>
      </c>
      <c r="K237" s="4">
        <v>4600</v>
      </c>
      <c r="L237" s="4">
        <v>625</v>
      </c>
      <c r="M237" s="4" t="s">
        <v>48</v>
      </c>
      <c r="N237" s="4" t="s">
        <v>60</v>
      </c>
      <c r="O237" s="4" t="s">
        <v>50</v>
      </c>
      <c r="P237" s="4">
        <v>175</v>
      </c>
      <c r="Q237" s="4" t="s">
        <v>1975</v>
      </c>
      <c r="R237" s="4" t="s">
        <v>1976</v>
      </c>
      <c r="S237" s="4" t="s">
        <v>50</v>
      </c>
      <c r="T237" s="4" t="s">
        <v>50</v>
      </c>
      <c r="U237" s="4" t="s">
        <v>50</v>
      </c>
      <c r="V237" s="4" t="s">
        <v>322</v>
      </c>
      <c r="W237" s="4" t="s">
        <v>54</v>
      </c>
      <c r="X237" s="4" t="s">
        <v>55</v>
      </c>
      <c r="Y237" s="4" t="s">
        <v>56</v>
      </c>
      <c r="Z237" s="4" t="s">
        <v>57</v>
      </c>
      <c r="AA237" s="4">
        <v>11</v>
      </c>
      <c r="AB237" s="4">
        <f>ROUND(I237*(1-AA237/100),-1)</f>
        <v>2090</v>
      </c>
      <c r="AC237" s="4">
        <f t="shared" si="3"/>
        <v>2350</v>
      </c>
      <c r="AD237" s="4">
        <v>18</v>
      </c>
      <c r="AE237" s="4">
        <v>15</v>
      </c>
      <c r="AF237" s="4">
        <v>6</v>
      </c>
      <c r="AG237" s="4">
        <v>33</v>
      </c>
      <c r="AH237" s="4">
        <v>175</v>
      </c>
      <c r="AI237" s="4">
        <f>ROUND(300*I237*(1+AE237/100+AF237/100),0)</f>
        <v>853050</v>
      </c>
      <c r="AJ237" s="4">
        <v>4.0999999999999996</v>
      </c>
      <c r="AK237" s="4">
        <v>809</v>
      </c>
      <c r="AL237" s="4" t="s">
        <v>111</v>
      </c>
      <c r="AM237" s="4" t="s">
        <v>59</v>
      </c>
    </row>
    <row r="238" spans="1:39" ht="213.75">
      <c r="A238" s="4" t="s">
        <v>1977</v>
      </c>
      <c r="B238" s="4" t="s">
        <v>1978</v>
      </c>
      <c r="C238" s="4" t="s">
        <v>94</v>
      </c>
      <c r="D238" s="4" t="s">
        <v>1979</v>
      </c>
      <c r="E238" s="4" t="s">
        <v>1980</v>
      </c>
      <c r="F238" s="4" t="s">
        <v>65</v>
      </c>
      <c r="G238" s="4" t="s">
        <v>1981</v>
      </c>
      <c r="H238" s="4" t="s">
        <v>1982</v>
      </c>
      <c r="I238" s="4">
        <v>1650</v>
      </c>
      <c r="J238" s="4">
        <v>2200</v>
      </c>
      <c r="K238" s="4">
        <v>3250</v>
      </c>
      <c r="L238" s="4">
        <v>350</v>
      </c>
      <c r="M238" s="4" t="s">
        <v>48</v>
      </c>
      <c r="N238" s="4" t="s">
        <v>40</v>
      </c>
      <c r="O238" s="4" t="s">
        <v>50</v>
      </c>
      <c r="P238" s="4">
        <v>85</v>
      </c>
      <c r="Q238" s="4" t="s">
        <v>1193</v>
      </c>
      <c r="R238" s="4" t="s">
        <v>1983</v>
      </c>
      <c r="S238" s="4" t="s">
        <v>50</v>
      </c>
      <c r="T238" s="4" t="s">
        <v>50</v>
      </c>
      <c r="U238" s="4" t="s">
        <v>50</v>
      </c>
      <c r="V238" s="4" t="s">
        <v>608</v>
      </c>
      <c r="W238" s="4" t="s">
        <v>54</v>
      </c>
      <c r="X238" s="4" t="s">
        <v>55</v>
      </c>
      <c r="Y238" s="4" t="s">
        <v>69</v>
      </c>
      <c r="Z238" s="4" t="s">
        <v>70</v>
      </c>
      <c r="AA238" s="4">
        <v>9</v>
      </c>
      <c r="AB238" s="4">
        <f>ROUND(I238*(1-AA238/100),-1)</f>
        <v>1500</v>
      </c>
      <c r="AC238" s="4">
        <f t="shared" si="3"/>
        <v>1650</v>
      </c>
      <c r="AD238" s="4">
        <v>21</v>
      </c>
      <c r="AE238" s="4">
        <v>15</v>
      </c>
      <c r="AF238" s="4">
        <v>7</v>
      </c>
      <c r="AG238" s="4">
        <v>38</v>
      </c>
      <c r="AH238" s="4">
        <v>100</v>
      </c>
      <c r="AI238" s="4">
        <f>ROUND(300*I238*(1+AE238/100+AF238/100),0)</f>
        <v>603900</v>
      </c>
      <c r="AJ238" s="4">
        <v>3.9</v>
      </c>
      <c r="AK238" s="4">
        <v>576</v>
      </c>
      <c r="AL238" s="4" t="s">
        <v>111</v>
      </c>
      <c r="AM238" s="4" t="s">
        <v>59</v>
      </c>
    </row>
    <row r="239" spans="1:39" ht="228">
      <c r="A239" s="4" t="s">
        <v>1984</v>
      </c>
      <c r="B239" s="4" t="s">
        <v>1985</v>
      </c>
      <c r="C239" s="4" t="s">
        <v>700</v>
      </c>
      <c r="D239" s="4" t="s">
        <v>1986</v>
      </c>
      <c r="E239" s="4" t="s">
        <v>1987</v>
      </c>
      <c r="F239" s="4" t="s">
        <v>192</v>
      </c>
      <c r="G239" s="4" t="s">
        <v>1988</v>
      </c>
      <c r="H239" s="4" t="s">
        <v>1989</v>
      </c>
      <c r="I239" s="4">
        <v>1500</v>
      </c>
      <c r="J239" s="4">
        <v>2350</v>
      </c>
      <c r="K239" s="4">
        <v>3900</v>
      </c>
      <c r="L239" s="4">
        <v>525</v>
      </c>
      <c r="M239" s="4" t="s">
        <v>48</v>
      </c>
      <c r="N239" s="4" t="s">
        <v>40</v>
      </c>
      <c r="O239" s="4" t="s">
        <v>50</v>
      </c>
      <c r="P239" s="4">
        <v>130</v>
      </c>
      <c r="Q239" s="4" t="s">
        <v>1990</v>
      </c>
      <c r="R239" s="4" t="s">
        <v>1991</v>
      </c>
      <c r="S239" s="4" t="s">
        <v>50</v>
      </c>
      <c r="T239" s="4" t="s">
        <v>50</v>
      </c>
      <c r="U239" s="4" t="s">
        <v>50</v>
      </c>
      <c r="V239" s="4" t="s">
        <v>1186</v>
      </c>
      <c r="W239" s="4" t="s">
        <v>54</v>
      </c>
      <c r="X239" s="4" t="s">
        <v>55</v>
      </c>
      <c r="Y239" s="4" t="s">
        <v>69</v>
      </c>
      <c r="Z239" s="4" t="s">
        <v>706</v>
      </c>
      <c r="AA239" s="4">
        <v>9</v>
      </c>
      <c r="AB239" s="4">
        <f>ROUND(I239*(1-AA239/100),-1)</f>
        <v>1370</v>
      </c>
      <c r="AC239" s="4">
        <f t="shared" si="3"/>
        <v>1500</v>
      </c>
      <c r="AD239" s="4">
        <v>11</v>
      </c>
      <c r="AE239" s="4">
        <v>15</v>
      </c>
      <c r="AF239" s="4">
        <v>8</v>
      </c>
      <c r="AG239" s="4">
        <v>28</v>
      </c>
      <c r="AH239" s="4">
        <v>175</v>
      </c>
      <c r="AI239" s="4">
        <f>ROUND(300*I239*(1+AE239/100+AF239/100),0)</f>
        <v>553500</v>
      </c>
      <c r="AJ239" s="4">
        <v>4.3</v>
      </c>
      <c r="AK239" s="4">
        <v>71</v>
      </c>
      <c r="AL239" s="4" t="s">
        <v>111</v>
      </c>
      <c r="AM239" s="4" t="s">
        <v>59</v>
      </c>
    </row>
    <row r="240" spans="1:39" ht="228">
      <c r="A240" s="4" t="s">
        <v>1992</v>
      </c>
      <c r="B240" s="4" t="s">
        <v>1993</v>
      </c>
      <c r="C240" s="4" t="s">
        <v>94</v>
      </c>
      <c r="D240" s="4" t="s">
        <v>1994</v>
      </c>
      <c r="E240" s="4" t="s">
        <v>1995</v>
      </c>
      <c r="F240" s="4" t="s">
        <v>75</v>
      </c>
      <c r="G240" s="4" t="s">
        <v>1996</v>
      </c>
      <c r="H240" s="4" t="s">
        <v>1997</v>
      </c>
      <c r="I240" s="4">
        <v>1800</v>
      </c>
      <c r="J240" s="4">
        <v>2700</v>
      </c>
      <c r="K240" s="4">
        <v>4800</v>
      </c>
      <c r="L240" s="4">
        <v>600</v>
      </c>
      <c r="M240" s="4" t="s">
        <v>48</v>
      </c>
      <c r="N240" s="4" t="s">
        <v>40</v>
      </c>
      <c r="O240" s="4" t="s">
        <v>50</v>
      </c>
      <c r="P240" s="4">
        <v>125</v>
      </c>
      <c r="Q240" s="4" t="s">
        <v>1998</v>
      </c>
      <c r="R240" s="4" t="s">
        <v>1999</v>
      </c>
      <c r="S240" s="4" t="s">
        <v>50</v>
      </c>
      <c r="T240" s="4" t="s">
        <v>50</v>
      </c>
      <c r="U240" s="4" t="s">
        <v>50</v>
      </c>
      <c r="V240" s="4" t="s">
        <v>187</v>
      </c>
      <c r="W240" s="4" t="s">
        <v>54</v>
      </c>
      <c r="X240" s="4" t="s">
        <v>55</v>
      </c>
      <c r="Y240" s="4" t="s">
        <v>69</v>
      </c>
      <c r="Z240" s="4" t="s">
        <v>70</v>
      </c>
      <c r="AA240" s="4">
        <v>10</v>
      </c>
      <c r="AB240" s="4">
        <f>ROUND(I240*(1-AA240/100),-1)</f>
        <v>1620</v>
      </c>
      <c r="AC240" s="4">
        <f t="shared" si="3"/>
        <v>1800</v>
      </c>
      <c r="AD240" s="4">
        <v>18</v>
      </c>
      <c r="AE240" s="4">
        <v>15</v>
      </c>
      <c r="AF240" s="4">
        <v>7</v>
      </c>
      <c r="AG240" s="4">
        <v>39</v>
      </c>
      <c r="AH240" s="4">
        <v>200</v>
      </c>
      <c r="AI240" s="4">
        <f>ROUND(300*I240*(1+AE240/100+AF240/100),0)</f>
        <v>658800</v>
      </c>
      <c r="AJ240" s="4">
        <v>4</v>
      </c>
      <c r="AK240" s="4">
        <v>485</v>
      </c>
      <c r="AL240" s="4" t="s">
        <v>111</v>
      </c>
      <c r="AM240" s="4" t="s">
        <v>59</v>
      </c>
    </row>
    <row r="241" spans="1:39" ht="256.5">
      <c r="A241" s="4" t="s">
        <v>2000</v>
      </c>
      <c r="B241" s="4" t="s">
        <v>2001</v>
      </c>
      <c r="C241" s="4" t="s">
        <v>94</v>
      </c>
      <c r="D241" s="4" t="s">
        <v>2002</v>
      </c>
      <c r="E241" s="4" t="s">
        <v>1190</v>
      </c>
      <c r="F241" s="4" t="s">
        <v>255</v>
      </c>
      <c r="G241" s="4" t="s">
        <v>2003</v>
      </c>
      <c r="H241" s="4" t="s">
        <v>2004</v>
      </c>
      <c r="I241" s="4">
        <v>1950</v>
      </c>
      <c r="J241" s="4">
        <v>2700</v>
      </c>
      <c r="K241" s="4">
        <v>3700</v>
      </c>
      <c r="L241" s="4">
        <v>625</v>
      </c>
      <c r="M241" s="4" t="s">
        <v>40</v>
      </c>
      <c r="N241" s="4" t="s">
        <v>40</v>
      </c>
      <c r="O241" s="4" t="s">
        <v>50</v>
      </c>
      <c r="P241" s="4">
        <v>150</v>
      </c>
      <c r="Q241" s="4" t="s">
        <v>2005</v>
      </c>
      <c r="R241" s="4" t="s">
        <v>2006</v>
      </c>
      <c r="S241" s="4" t="s">
        <v>50</v>
      </c>
      <c r="T241" s="4" t="s">
        <v>50</v>
      </c>
      <c r="U241" s="4" t="s">
        <v>50</v>
      </c>
      <c r="V241" s="4" t="s">
        <v>851</v>
      </c>
      <c r="W241" s="4" t="s">
        <v>54</v>
      </c>
      <c r="X241" s="4" t="s">
        <v>55</v>
      </c>
      <c r="Y241" s="4" t="s">
        <v>81</v>
      </c>
      <c r="Z241" s="4" t="s">
        <v>70</v>
      </c>
      <c r="AA241" s="4">
        <v>7</v>
      </c>
      <c r="AB241" s="4">
        <f>ROUND(I241*(1-AA241/100),-1)</f>
        <v>1810</v>
      </c>
      <c r="AC241" s="4">
        <f t="shared" si="3"/>
        <v>1950</v>
      </c>
      <c r="AD241" s="4">
        <v>22</v>
      </c>
      <c r="AE241" s="4">
        <v>15</v>
      </c>
      <c r="AF241" s="4">
        <v>10</v>
      </c>
      <c r="AG241" s="4">
        <v>33</v>
      </c>
      <c r="AH241" s="4">
        <v>175</v>
      </c>
      <c r="AI241" s="4">
        <f>ROUND(300*I241*(1+AE241/100+AF241/100),0)</f>
        <v>731250</v>
      </c>
      <c r="AJ241" s="4">
        <v>4.7</v>
      </c>
      <c r="AK241" s="4">
        <v>745</v>
      </c>
      <c r="AL241" s="4" t="s">
        <v>111</v>
      </c>
      <c r="AM241" s="4" t="s">
        <v>59</v>
      </c>
    </row>
    <row r="242" spans="1:39" ht="242.25">
      <c r="A242" s="4" t="s">
        <v>2007</v>
      </c>
      <c r="B242" s="4" t="s">
        <v>2008</v>
      </c>
      <c r="C242" s="4" t="s">
        <v>94</v>
      </c>
      <c r="D242" s="4" t="s">
        <v>2009</v>
      </c>
      <c r="E242" s="4" t="s">
        <v>763</v>
      </c>
      <c r="F242" s="4" t="s">
        <v>255</v>
      </c>
      <c r="G242" s="4" t="s">
        <v>2010</v>
      </c>
      <c r="H242" s="4" t="s">
        <v>2011</v>
      </c>
      <c r="I242" s="4">
        <v>2100</v>
      </c>
      <c r="J242" s="4">
        <v>3000</v>
      </c>
      <c r="K242" s="4">
        <v>4100</v>
      </c>
      <c r="L242" s="4">
        <v>400</v>
      </c>
      <c r="M242" s="4" t="s">
        <v>40</v>
      </c>
      <c r="N242" s="4" t="s">
        <v>40</v>
      </c>
      <c r="O242" s="4" t="s">
        <v>50</v>
      </c>
      <c r="P242" s="4">
        <v>90</v>
      </c>
      <c r="Q242" s="4" t="s">
        <v>2012</v>
      </c>
      <c r="R242" s="4" t="s">
        <v>2013</v>
      </c>
      <c r="S242" s="4" t="s">
        <v>50</v>
      </c>
      <c r="T242" s="4" t="s">
        <v>50</v>
      </c>
      <c r="U242" s="4" t="s">
        <v>50</v>
      </c>
      <c r="V242" s="4" t="s">
        <v>851</v>
      </c>
      <c r="W242" s="4" t="s">
        <v>54</v>
      </c>
      <c r="X242" s="4" t="s">
        <v>55</v>
      </c>
      <c r="Y242" s="4" t="s">
        <v>81</v>
      </c>
      <c r="Z242" s="4" t="s">
        <v>70</v>
      </c>
      <c r="AA242" s="4">
        <v>8</v>
      </c>
      <c r="AB242" s="4">
        <f>ROUND(I242*(1-AA242/100),-1)</f>
        <v>1930</v>
      </c>
      <c r="AC242" s="4">
        <f t="shared" si="3"/>
        <v>2100</v>
      </c>
      <c r="AD242" s="4">
        <v>10</v>
      </c>
      <c r="AE242" s="4">
        <v>15</v>
      </c>
      <c r="AF242" s="4">
        <v>8</v>
      </c>
      <c r="AG242" s="4">
        <v>30</v>
      </c>
      <c r="AH242" s="4">
        <v>125</v>
      </c>
      <c r="AI242" s="4">
        <f>ROUND(300*I242*(1+AE242/100+AF242/100),0)</f>
        <v>774900</v>
      </c>
      <c r="AJ242" s="4">
        <v>4.4000000000000004</v>
      </c>
      <c r="AK242" s="4">
        <v>126</v>
      </c>
      <c r="AL242" s="4" t="s">
        <v>111</v>
      </c>
      <c r="AM242" s="4" t="s">
        <v>59</v>
      </c>
    </row>
    <row r="243" spans="1:39" ht="228">
      <c r="A243" s="4" t="s">
        <v>2014</v>
      </c>
      <c r="B243" s="4" t="s">
        <v>2015</v>
      </c>
      <c r="C243" s="4" t="s">
        <v>94</v>
      </c>
      <c r="D243" s="4" t="s">
        <v>2016</v>
      </c>
      <c r="E243" s="4" t="s">
        <v>2017</v>
      </c>
      <c r="F243" s="4" t="s">
        <v>86</v>
      </c>
      <c r="G243" s="4" t="s">
        <v>2018</v>
      </c>
      <c r="H243" s="4" t="s">
        <v>2019</v>
      </c>
      <c r="I243" s="4">
        <v>2100</v>
      </c>
      <c r="J243" s="4">
        <v>3050</v>
      </c>
      <c r="K243" s="4">
        <v>4550</v>
      </c>
      <c r="L243" s="4">
        <v>475</v>
      </c>
      <c r="M243" s="4" t="s">
        <v>48</v>
      </c>
      <c r="N243" s="4" t="s">
        <v>40</v>
      </c>
      <c r="O243" s="4" t="s">
        <v>50</v>
      </c>
      <c r="P243" s="4">
        <v>115</v>
      </c>
      <c r="Q243" s="4" t="s">
        <v>2020</v>
      </c>
      <c r="R243" s="4" t="s">
        <v>2021</v>
      </c>
      <c r="S243" s="4" t="s">
        <v>50</v>
      </c>
      <c r="T243" s="4" t="s">
        <v>50</v>
      </c>
      <c r="U243" s="4" t="s">
        <v>50</v>
      </c>
      <c r="V243" s="4" t="s">
        <v>1028</v>
      </c>
      <c r="W243" s="4" t="s">
        <v>54</v>
      </c>
      <c r="X243" s="4" t="s">
        <v>55</v>
      </c>
      <c r="Y243" s="4" t="s">
        <v>69</v>
      </c>
      <c r="Z243" s="4" t="s">
        <v>70</v>
      </c>
      <c r="AA243" s="4">
        <v>5</v>
      </c>
      <c r="AB243" s="4">
        <f>ROUND(I243*(1-AA243/100),-1)</f>
        <v>2000</v>
      </c>
      <c r="AC243" s="4">
        <f t="shared" si="3"/>
        <v>2100</v>
      </c>
      <c r="AD243" s="4">
        <v>19</v>
      </c>
      <c r="AE243" s="4">
        <v>15</v>
      </c>
      <c r="AF243" s="4">
        <v>6</v>
      </c>
      <c r="AG243" s="4">
        <v>45</v>
      </c>
      <c r="AH243" s="4">
        <v>175</v>
      </c>
      <c r="AI243" s="4">
        <f>ROUND(300*I243*(1+AE243/100+AF243/100),0)</f>
        <v>762300</v>
      </c>
      <c r="AJ243" s="4">
        <v>4.5999999999999996</v>
      </c>
      <c r="AK243" s="4">
        <v>442</v>
      </c>
      <c r="AL243" s="4" t="s">
        <v>111</v>
      </c>
      <c r="AM243" s="4" t="s">
        <v>59</v>
      </c>
    </row>
    <row r="244" spans="1:39" ht="228">
      <c r="A244" s="4" t="s">
        <v>2022</v>
      </c>
      <c r="B244" s="4" t="s">
        <v>2023</v>
      </c>
      <c r="C244" s="4" t="s">
        <v>94</v>
      </c>
      <c r="D244" s="4" t="s">
        <v>2024</v>
      </c>
      <c r="E244" s="4" t="s">
        <v>2025</v>
      </c>
      <c r="F244" s="4" t="s">
        <v>75</v>
      </c>
      <c r="G244" s="4" t="s">
        <v>2026</v>
      </c>
      <c r="H244" s="4" t="s">
        <v>2027</v>
      </c>
      <c r="I244" s="4">
        <v>1950</v>
      </c>
      <c r="J244" s="4">
        <v>2600</v>
      </c>
      <c r="K244" s="4">
        <v>3900</v>
      </c>
      <c r="L244" s="4">
        <v>725</v>
      </c>
      <c r="M244" s="4" t="s">
        <v>48</v>
      </c>
      <c r="N244" s="4" t="s">
        <v>40</v>
      </c>
      <c r="O244" s="4" t="s">
        <v>50</v>
      </c>
      <c r="P244" s="4">
        <v>175</v>
      </c>
      <c r="Q244" s="4" t="s">
        <v>2028</v>
      </c>
      <c r="R244" s="4" t="s">
        <v>2029</v>
      </c>
      <c r="S244" s="4" t="s">
        <v>50</v>
      </c>
      <c r="T244" s="4" t="s">
        <v>50</v>
      </c>
      <c r="U244" s="4" t="s">
        <v>50</v>
      </c>
      <c r="V244" s="4" t="s">
        <v>148</v>
      </c>
      <c r="W244" s="4" t="s">
        <v>54</v>
      </c>
      <c r="X244" s="4" t="s">
        <v>55</v>
      </c>
      <c r="Y244" s="4" t="s">
        <v>69</v>
      </c>
      <c r="Z244" s="4" t="s">
        <v>70</v>
      </c>
      <c r="AA244" s="4">
        <v>9</v>
      </c>
      <c r="AB244" s="4">
        <f>ROUND(I244*(1-AA244/100),-1)</f>
        <v>1770</v>
      </c>
      <c r="AC244" s="4">
        <f t="shared" si="3"/>
        <v>1950</v>
      </c>
      <c r="AD244" s="4">
        <v>17</v>
      </c>
      <c r="AE244" s="4">
        <v>15</v>
      </c>
      <c r="AF244" s="4">
        <v>6</v>
      </c>
      <c r="AG244" s="4">
        <v>38</v>
      </c>
      <c r="AH244" s="4">
        <v>225</v>
      </c>
      <c r="AI244" s="4">
        <f>ROUND(300*I244*(1+AE244/100+AF244/100),0)</f>
        <v>707850</v>
      </c>
      <c r="AJ244" s="4">
        <v>3.9</v>
      </c>
      <c r="AK244" s="4">
        <v>580</v>
      </c>
      <c r="AL244" s="4" t="s">
        <v>111</v>
      </c>
      <c r="AM244" s="4" t="s">
        <v>59</v>
      </c>
    </row>
    <row r="245" spans="1:39" ht="228">
      <c r="A245" s="4" t="s">
        <v>2030</v>
      </c>
      <c r="B245" s="4" t="s">
        <v>2031</v>
      </c>
      <c r="C245" s="4" t="s">
        <v>72</v>
      </c>
      <c r="D245" s="4" t="s">
        <v>2032</v>
      </c>
      <c r="E245" s="4" t="s">
        <v>919</v>
      </c>
      <c r="F245" s="4" t="s">
        <v>75</v>
      </c>
      <c r="G245" s="4" t="s">
        <v>2033</v>
      </c>
      <c r="H245" s="4" t="s">
        <v>2034</v>
      </c>
      <c r="I245" s="4">
        <v>2400</v>
      </c>
      <c r="J245" s="4">
        <v>2850</v>
      </c>
      <c r="K245" s="4">
        <v>4100</v>
      </c>
      <c r="L245" s="4">
        <v>1025</v>
      </c>
      <c r="M245" s="4" t="s">
        <v>48</v>
      </c>
      <c r="N245" s="4" t="s">
        <v>60</v>
      </c>
      <c r="O245" s="4" t="s">
        <v>50</v>
      </c>
      <c r="P245" s="4">
        <v>200</v>
      </c>
      <c r="Q245" s="4" t="s">
        <v>2035</v>
      </c>
      <c r="R245" s="4" t="s">
        <v>2036</v>
      </c>
      <c r="S245" s="4" t="s">
        <v>50</v>
      </c>
      <c r="T245" s="4" t="s">
        <v>50</v>
      </c>
      <c r="U245" s="4" t="s">
        <v>50</v>
      </c>
      <c r="V245" s="4" t="s">
        <v>2037</v>
      </c>
      <c r="W245" s="4" t="s">
        <v>54</v>
      </c>
      <c r="X245" s="4" t="s">
        <v>55</v>
      </c>
      <c r="Y245" s="4" t="s">
        <v>56</v>
      </c>
      <c r="Z245" s="4" t="s">
        <v>57</v>
      </c>
      <c r="AA245" s="4">
        <v>9</v>
      </c>
      <c r="AB245" s="4">
        <f>ROUND(I245*(1-AA245/100),-1)</f>
        <v>2180</v>
      </c>
      <c r="AC245" s="4">
        <f t="shared" si="3"/>
        <v>2400</v>
      </c>
      <c r="AD245" s="4">
        <v>15</v>
      </c>
      <c r="AE245" s="4">
        <v>15</v>
      </c>
      <c r="AF245" s="4">
        <v>6</v>
      </c>
      <c r="AG245" s="4">
        <v>44</v>
      </c>
      <c r="AH245" s="4">
        <v>350</v>
      </c>
      <c r="AI245" s="4">
        <f>ROUND(300*I245*(1+AE245/100+AF245/100),0)</f>
        <v>871200</v>
      </c>
      <c r="AJ245" s="4">
        <v>4.7</v>
      </c>
      <c r="AK245" s="4">
        <v>776</v>
      </c>
      <c r="AL245" s="4" t="s">
        <v>111</v>
      </c>
      <c r="AM245" s="4" t="s">
        <v>59</v>
      </c>
    </row>
    <row r="246" spans="1:39" ht="228">
      <c r="A246" s="4" t="s">
        <v>2038</v>
      </c>
      <c r="B246" s="4" t="s">
        <v>2039</v>
      </c>
      <c r="C246" s="4" t="s">
        <v>94</v>
      </c>
      <c r="D246" s="4" t="s">
        <v>2040</v>
      </c>
      <c r="E246" s="4" t="s">
        <v>2041</v>
      </c>
      <c r="F246" s="4" t="s">
        <v>75</v>
      </c>
      <c r="G246" s="4" t="s">
        <v>2042</v>
      </c>
      <c r="H246" s="4" t="s">
        <v>2043</v>
      </c>
      <c r="I246" s="4">
        <v>1800</v>
      </c>
      <c r="J246" s="4">
        <v>2750</v>
      </c>
      <c r="K246" s="4">
        <v>3900</v>
      </c>
      <c r="L246" s="4">
        <v>600</v>
      </c>
      <c r="M246" s="4" t="s">
        <v>48</v>
      </c>
      <c r="N246" s="4" t="s">
        <v>40</v>
      </c>
      <c r="O246" s="4" t="s">
        <v>50</v>
      </c>
      <c r="P246" s="4">
        <v>160</v>
      </c>
      <c r="Q246" s="4" t="s">
        <v>1548</v>
      </c>
      <c r="R246" s="4" t="s">
        <v>2044</v>
      </c>
      <c r="S246" s="4" t="s">
        <v>50</v>
      </c>
      <c r="T246" s="4" t="s">
        <v>50</v>
      </c>
      <c r="U246" s="4" t="s">
        <v>50</v>
      </c>
      <c r="V246" s="4" t="s">
        <v>187</v>
      </c>
      <c r="W246" s="4" t="s">
        <v>54</v>
      </c>
      <c r="X246" s="4" t="s">
        <v>55</v>
      </c>
      <c r="Y246" s="4" t="s">
        <v>69</v>
      </c>
      <c r="Z246" s="4" t="s">
        <v>70</v>
      </c>
      <c r="AA246" s="4">
        <v>12</v>
      </c>
      <c r="AB246" s="4">
        <f>ROUND(I246*(1-AA246/100),-1)</f>
        <v>1580</v>
      </c>
      <c r="AC246" s="4">
        <f t="shared" si="3"/>
        <v>1800</v>
      </c>
      <c r="AD246" s="4">
        <v>16</v>
      </c>
      <c r="AE246" s="4">
        <v>15</v>
      </c>
      <c r="AF246" s="4">
        <v>6</v>
      </c>
      <c r="AG246" s="4">
        <v>33</v>
      </c>
      <c r="AH246" s="4">
        <v>250</v>
      </c>
      <c r="AI246" s="4">
        <f>ROUND(300*I246*(1+AE246/100+AF246/100),0)</f>
        <v>653400</v>
      </c>
      <c r="AJ246" s="4">
        <v>4</v>
      </c>
      <c r="AK246" s="4">
        <v>442</v>
      </c>
      <c r="AL246" s="4" t="s">
        <v>111</v>
      </c>
      <c r="AM246" s="4" t="s">
        <v>59</v>
      </c>
    </row>
    <row r="247" spans="1:39" ht="213.75">
      <c r="A247" s="4" t="s">
        <v>2045</v>
      </c>
      <c r="B247" s="4" t="s">
        <v>2046</v>
      </c>
      <c r="C247" s="4" t="s">
        <v>94</v>
      </c>
      <c r="D247" s="4" t="s">
        <v>2047</v>
      </c>
      <c r="E247" s="4" t="s">
        <v>2048</v>
      </c>
      <c r="F247" s="4" t="s">
        <v>75</v>
      </c>
      <c r="G247" s="4" t="s">
        <v>2049</v>
      </c>
      <c r="H247" s="4" t="s">
        <v>2050</v>
      </c>
      <c r="I247" s="4">
        <v>2050</v>
      </c>
      <c r="J247" s="4">
        <v>2600</v>
      </c>
      <c r="K247" s="4">
        <v>4400</v>
      </c>
      <c r="L247" s="4">
        <v>325</v>
      </c>
      <c r="M247" s="4" t="s">
        <v>48</v>
      </c>
      <c r="N247" s="4" t="s">
        <v>40</v>
      </c>
      <c r="O247" s="4" t="s">
        <v>50</v>
      </c>
      <c r="P247" s="4">
        <v>75</v>
      </c>
      <c r="Q247" s="4" t="s">
        <v>2051</v>
      </c>
      <c r="R247" s="4" t="s">
        <v>2052</v>
      </c>
      <c r="S247" s="4" t="s">
        <v>50</v>
      </c>
      <c r="T247" s="4" t="s">
        <v>50</v>
      </c>
      <c r="U247" s="4" t="s">
        <v>50</v>
      </c>
      <c r="V247" s="4" t="s">
        <v>187</v>
      </c>
      <c r="W247" s="4" t="s">
        <v>54</v>
      </c>
      <c r="X247" s="4" t="s">
        <v>55</v>
      </c>
      <c r="Y247" s="4" t="s">
        <v>69</v>
      </c>
      <c r="Z247" s="4" t="s">
        <v>70</v>
      </c>
      <c r="AA247" s="4">
        <v>8</v>
      </c>
      <c r="AB247" s="4">
        <f>ROUND(I247*(1-AA247/100),-1)</f>
        <v>1890</v>
      </c>
      <c r="AC247" s="4">
        <f t="shared" si="3"/>
        <v>2050</v>
      </c>
      <c r="AD247" s="4">
        <v>11</v>
      </c>
      <c r="AE247" s="4">
        <v>15</v>
      </c>
      <c r="AF247" s="4">
        <v>10</v>
      </c>
      <c r="AG247" s="4">
        <v>44</v>
      </c>
      <c r="AH247" s="4">
        <v>125</v>
      </c>
      <c r="AI247" s="4">
        <f>ROUND(300*I247*(1+AE247/100+AF247/100),0)</f>
        <v>768750</v>
      </c>
      <c r="AJ247" s="4">
        <v>4.3</v>
      </c>
      <c r="AK247" s="4">
        <v>568</v>
      </c>
      <c r="AL247" s="4" t="s">
        <v>111</v>
      </c>
      <c r="AM247" s="4" t="s">
        <v>59</v>
      </c>
    </row>
    <row r="248" spans="1:39" ht="228">
      <c r="A248" s="4" t="s">
        <v>2053</v>
      </c>
      <c r="B248" s="4" t="s">
        <v>2054</v>
      </c>
      <c r="C248" s="4" t="s">
        <v>700</v>
      </c>
      <c r="D248" s="4" t="s">
        <v>2055</v>
      </c>
      <c r="E248" s="4" t="s">
        <v>2056</v>
      </c>
      <c r="F248" s="4" t="s">
        <v>65</v>
      </c>
      <c r="G248" s="4" t="s">
        <v>2057</v>
      </c>
      <c r="H248" s="4" t="s">
        <v>2058</v>
      </c>
      <c r="I248" s="4">
        <v>1500</v>
      </c>
      <c r="J248" s="4">
        <v>2050</v>
      </c>
      <c r="K248" s="4">
        <v>4000</v>
      </c>
      <c r="L248" s="4">
        <v>500</v>
      </c>
      <c r="M248" s="4" t="s">
        <v>48</v>
      </c>
      <c r="N248" s="4" t="s">
        <v>40</v>
      </c>
      <c r="O248" s="4" t="s">
        <v>50</v>
      </c>
      <c r="P248" s="4">
        <v>115</v>
      </c>
      <c r="Q248" s="4" t="s">
        <v>2059</v>
      </c>
      <c r="R248" s="4" t="s">
        <v>2060</v>
      </c>
      <c r="S248" s="4" t="s">
        <v>50</v>
      </c>
      <c r="T248" s="4" t="s">
        <v>50</v>
      </c>
      <c r="U248" s="4" t="s">
        <v>50</v>
      </c>
      <c r="V248" s="4" t="s">
        <v>705</v>
      </c>
      <c r="W248" s="4" t="s">
        <v>54</v>
      </c>
      <c r="X248" s="4" t="s">
        <v>55</v>
      </c>
      <c r="Y248" s="4" t="s">
        <v>69</v>
      </c>
      <c r="Z248" s="4" t="s">
        <v>706</v>
      </c>
      <c r="AA248" s="4">
        <v>5</v>
      </c>
      <c r="AB248" s="4">
        <f>ROUND(I248*(1-AA248/100),-1)</f>
        <v>1430</v>
      </c>
      <c r="AC248" s="4">
        <f t="shared" si="3"/>
        <v>1500</v>
      </c>
      <c r="AD248" s="4">
        <v>21</v>
      </c>
      <c r="AE248" s="4">
        <v>15</v>
      </c>
      <c r="AF248" s="4">
        <v>7</v>
      </c>
      <c r="AG248" s="4">
        <v>28</v>
      </c>
      <c r="AH248" s="4">
        <v>150</v>
      </c>
      <c r="AI248" s="4">
        <f>ROUND(300*I248*(1+AE248/100+AF248/100),0)</f>
        <v>549000</v>
      </c>
      <c r="AJ248" s="4">
        <v>3.9</v>
      </c>
      <c r="AK248" s="4">
        <v>109</v>
      </c>
      <c r="AL248" s="4" t="s">
        <v>111</v>
      </c>
      <c r="AM248" s="4" t="s">
        <v>59</v>
      </c>
    </row>
    <row r="249" spans="1:39" ht="228">
      <c r="A249" s="4" t="s">
        <v>2061</v>
      </c>
      <c r="B249" s="4" t="s">
        <v>2062</v>
      </c>
      <c r="C249" s="4" t="s">
        <v>72</v>
      </c>
      <c r="D249" s="4" t="s">
        <v>2063</v>
      </c>
      <c r="E249" s="4" t="s">
        <v>2064</v>
      </c>
      <c r="F249" s="4" t="s">
        <v>282</v>
      </c>
      <c r="G249" s="4" t="s">
        <v>2065</v>
      </c>
      <c r="H249" s="4" t="s">
        <v>2066</v>
      </c>
      <c r="I249" s="4">
        <v>2350</v>
      </c>
      <c r="J249" s="4">
        <v>3050</v>
      </c>
      <c r="K249" s="4">
        <v>4750</v>
      </c>
      <c r="L249" s="4">
        <v>600</v>
      </c>
      <c r="M249" s="4" t="s">
        <v>48</v>
      </c>
      <c r="N249" s="4" t="s">
        <v>40</v>
      </c>
      <c r="O249" s="4" t="s">
        <v>50</v>
      </c>
      <c r="P249" s="4">
        <v>160</v>
      </c>
      <c r="Q249" s="4" t="s">
        <v>2067</v>
      </c>
      <c r="R249" s="4" t="s">
        <v>2068</v>
      </c>
      <c r="S249" s="4" t="s">
        <v>50</v>
      </c>
      <c r="T249" s="4" t="s">
        <v>50</v>
      </c>
      <c r="U249" s="4" t="s">
        <v>50</v>
      </c>
      <c r="V249" s="4" t="s">
        <v>1288</v>
      </c>
      <c r="W249" s="4" t="s">
        <v>54</v>
      </c>
      <c r="X249" s="4" t="s">
        <v>55</v>
      </c>
      <c r="Y249" s="4" t="s">
        <v>69</v>
      </c>
      <c r="Z249" s="4" t="s">
        <v>57</v>
      </c>
      <c r="AA249" s="4">
        <v>8</v>
      </c>
      <c r="AB249" s="4">
        <f>ROUND(I249*(1-AA249/100),-1)</f>
        <v>2160</v>
      </c>
      <c r="AC249" s="4">
        <f t="shared" si="3"/>
        <v>2350</v>
      </c>
      <c r="AD249" s="4">
        <v>18</v>
      </c>
      <c r="AE249" s="4">
        <v>15</v>
      </c>
      <c r="AF249" s="4">
        <v>5</v>
      </c>
      <c r="AG249" s="4">
        <v>35</v>
      </c>
      <c r="AH249" s="4">
        <v>225</v>
      </c>
      <c r="AI249" s="4">
        <f>ROUND(300*I249*(1+AE249/100+AF249/100),0)</f>
        <v>846000</v>
      </c>
      <c r="AJ249" s="4">
        <v>4.8</v>
      </c>
      <c r="AK249" s="4">
        <v>379</v>
      </c>
      <c r="AL249" s="4" t="s">
        <v>111</v>
      </c>
      <c r="AM249" s="4" t="s">
        <v>59</v>
      </c>
    </row>
    <row r="250" spans="1:39" ht="228">
      <c r="A250" s="4" t="s">
        <v>2069</v>
      </c>
      <c r="B250" s="4" t="s">
        <v>2070</v>
      </c>
      <c r="C250" s="4" t="s">
        <v>700</v>
      </c>
      <c r="D250" s="4" t="s">
        <v>2071</v>
      </c>
      <c r="E250" s="4" t="s">
        <v>2072</v>
      </c>
      <c r="F250" s="4" t="s">
        <v>45</v>
      </c>
      <c r="G250" s="4" t="s">
        <v>2073</v>
      </c>
      <c r="H250" s="4" t="s">
        <v>2074</v>
      </c>
      <c r="I250" s="4">
        <v>1500</v>
      </c>
      <c r="J250" s="4">
        <v>1950</v>
      </c>
      <c r="K250" s="4">
        <v>3050</v>
      </c>
      <c r="L250" s="4">
        <v>600</v>
      </c>
      <c r="M250" s="4" t="s">
        <v>48</v>
      </c>
      <c r="N250" s="4" t="s">
        <v>40</v>
      </c>
      <c r="O250" s="4" t="s">
        <v>50</v>
      </c>
      <c r="P250" s="4">
        <v>130</v>
      </c>
      <c r="Q250" s="4" t="s">
        <v>2075</v>
      </c>
      <c r="R250" s="4" t="s">
        <v>2076</v>
      </c>
      <c r="S250" s="4" t="s">
        <v>50</v>
      </c>
      <c r="T250" s="4" t="s">
        <v>50</v>
      </c>
      <c r="U250" s="4" t="s">
        <v>50</v>
      </c>
      <c r="V250" s="4" t="s">
        <v>955</v>
      </c>
      <c r="W250" s="4" t="s">
        <v>54</v>
      </c>
      <c r="X250" s="4" t="s">
        <v>55</v>
      </c>
      <c r="Y250" s="4" t="s">
        <v>69</v>
      </c>
      <c r="Z250" s="4" t="s">
        <v>706</v>
      </c>
      <c r="AA250" s="4">
        <v>6</v>
      </c>
      <c r="AB250" s="4">
        <f>ROUND(I250*(1-AA250/100),-1)</f>
        <v>1410</v>
      </c>
      <c r="AC250" s="4">
        <f t="shared" si="3"/>
        <v>1500</v>
      </c>
      <c r="AD250" s="4">
        <v>14</v>
      </c>
      <c r="AE250" s="4">
        <v>15</v>
      </c>
      <c r="AF250" s="4">
        <v>9</v>
      </c>
      <c r="AG250" s="4">
        <v>27</v>
      </c>
      <c r="AH250" s="4">
        <v>200</v>
      </c>
      <c r="AI250" s="4">
        <f>ROUND(300*I250*(1+AE250/100+AF250/100),0)</f>
        <v>558000</v>
      </c>
      <c r="AJ250" s="4">
        <v>3.8</v>
      </c>
      <c r="AK250" s="4">
        <v>221</v>
      </c>
      <c r="AL250" s="4" t="s">
        <v>111</v>
      </c>
      <c r="AM250" s="4" t="s">
        <v>59</v>
      </c>
    </row>
    <row r="251" spans="1:39" ht="256.5">
      <c r="A251" s="4" t="s">
        <v>2077</v>
      </c>
      <c r="B251" s="4" t="s">
        <v>2078</v>
      </c>
      <c r="C251" s="4" t="s">
        <v>72</v>
      </c>
      <c r="D251" s="4" t="s">
        <v>2079</v>
      </c>
      <c r="E251" s="4" t="s">
        <v>846</v>
      </c>
      <c r="F251" s="4" t="s">
        <v>255</v>
      </c>
      <c r="G251" s="4" t="s">
        <v>2080</v>
      </c>
      <c r="H251" s="4" t="s">
        <v>2081</v>
      </c>
      <c r="I251" s="4">
        <v>2300</v>
      </c>
      <c r="J251" s="4">
        <v>3150</v>
      </c>
      <c r="K251" s="4">
        <v>4300</v>
      </c>
      <c r="L251" s="4">
        <v>825</v>
      </c>
      <c r="M251" s="4" t="s">
        <v>40</v>
      </c>
      <c r="N251" s="4" t="s">
        <v>49</v>
      </c>
      <c r="O251" s="4" t="s">
        <v>50</v>
      </c>
      <c r="P251" s="4">
        <v>220</v>
      </c>
      <c r="Q251" s="4" t="s">
        <v>1216</v>
      </c>
      <c r="R251" s="4" t="s">
        <v>2082</v>
      </c>
      <c r="S251" s="4" t="s">
        <v>50</v>
      </c>
      <c r="T251" s="4" t="s">
        <v>50</v>
      </c>
      <c r="U251" s="4" t="s">
        <v>50</v>
      </c>
      <c r="V251" s="4" t="s">
        <v>1108</v>
      </c>
      <c r="W251" s="4" t="s">
        <v>54</v>
      </c>
      <c r="X251" s="4" t="s">
        <v>55</v>
      </c>
      <c r="Y251" s="4" t="s">
        <v>81</v>
      </c>
      <c r="Z251" s="4" t="s">
        <v>57</v>
      </c>
      <c r="AA251" s="4">
        <v>7</v>
      </c>
      <c r="AB251" s="4">
        <f>ROUND(I251*(1-AA251/100),-1)</f>
        <v>2140</v>
      </c>
      <c r="AC251" s="4">
        <f t="shared" si="3"/>
        <v>2300</v>
      </c>
      <c r="AD251" s="4">
        <v>16</v>
      </c>
      <c r="AE251" s="4">
        <v>15</v>
      </c>
      <c r="AF251" s="4">
        <v>6</v>
      </c>
      <c r="AG251" s="4">
        <v>47</v>
      </c>
      <c r="AH251" s="4">
        <v>325</v>
      </c>
      <c r="AI251" s="4">
        <f>ROUND(300*I251*(1+AE251/100+AF251/100),0)</f>
        <v>834900</v>
      </c>
      <c r="AJ251" s="4">
        <v>4.9000000000000004</v>
      </c>
      <c r="AK251" s="4">
        <v>446</v>
      </c>
      <c r="AL251" s="4" t="s">
        <v>111</v>
      </c>
      <c r="AM251" s="4" t="s">
        <v>59</v>
      </c>
    </row>
    <row r="252" spans="1:39" ht="256.5">
      <c r="A252" s="4" t="s">
        <v>2083</v>
      </c>
      <c r="B252" s="4" t="s">
        <v>2084</v>
      </c>
      <c r="C252" s="4" t="s">
        <v>72</v>
      </c>
      <c r="D252" s="4" t="s">
        <v>2085</v>
      </c>
      <c r="E252" s="4" t="s">
        <v>763</v>
      </c>
      <c r="F252" s="4" t="s">
        <v>255</v>
      </c>
      <c r="G252" s="4" t="s">
        <v>2086</v>
      </c>
      <c r="H252" s="4" t="s">
        <v>2087</v>
      </c>
      <c r="I252" s="4">
        <v>2250</v>
      </c>
      <c r="J252" s="4">
        <v>2750</v>
      </c>
      <c r="K252" s="4">
        <v>4800</v>
      </c>
      <c r="L252" s="4">
        <v>400</v>
      </c>
      <c r="M252" s="4" t="s">
        <v>40</v>
      </c>
      <c r="N252" s="4" t="s">
        <v>40</v>
      </c>
      <c r="O252" s="4" t="s">
        <v>50</v>
      </c>
      <c r="P252" s="4">
        <v>115</v>
      </c>
      <c r="Q252" s="4" t="s">
        <v>1683</v>
      </c>
      <c r="R252" s="4" t="s">
        <v>2088</v>
      </c>
      <c r="S252" s="4" t="s">
        <v>50</v>
      </c>
      <c r="T252" s="4" t="s">
        <v>50</v>
      </c>
      <c r="U252" s="4" t="s">
        <v>50</v>
      </c>
      <c r="V252" s="4" t="s">
        <v>260</v>
      </c>
      <c r="W252" s="4" t="s">
        <v>54</v>
      </c>
      <c r="X252" s="4" t="s">
        <v>55</v>
      </c>
      <c r="Y252" s="4" t="s">
        <v>81</v>
      </c>
      <c r="Z252" s="4" t="s">
        <v>57</v>
      </c>
      <c r="AA252" s="4">
        <v>10</v>
      </c>
      <c r="AB252" s="4">
        <f>ROUND(I252*(1-AA252/100),-1)</f>
        <v>2030</v>
      </c>
      <c r="AC252" s="4">
        <f t="shared" si="3"/>
        <v>2250</v>
      </c>
      <c r="AD252" s="4">
        <v>18</v>
      </c>
      <c r="AE252" s="4">
        <v>15</v>
      </c>
      <c r="AF252" s="4">
        <v>8</v>
      </c>
      <c r="AG252" s="4">
        <v>31</v>
      </c>
      <c r="AH252" s="4">
        <v>125</v>
      </c>
      <c r="AI252" s="4">
        <f>ROUND(300*I252*(1+AE252/100+AF252/100),0)</f>
        <v>830250</v>
      </c>
      <c r="AJ252" s="4">
        <v>4.0999999999999996</v>
      </c>
      <c r="AK252" s="4">
        <v>371</v>
      </c>
      <c r="AL252" s="4" t="s">
        <v>58</v>
      </c>
      <c r="AM252" s="4" t="s">
        <v>59</v>
      </c>
    </row>
    <row r="253" spans="1:39" ht="228">
      <c r="A253" s="4" t="s">
        <v>2089</v>
      </c>
      <c r="B253" s="4" t="s">
        <v>2090</v>
      </c>
      <c r="C253" s="4" t="s">
        <v>94</v>
      </c>
      <c r="D253" s="4" t="s">
        <v>2091</v>
      </c>
      <c r="E253" s="4" t="s">
        <v>2092</v>
      </c>
      <c r="F253" s="4" t="s">
        <v>192</v>
      </c>
      <c r="G253" s="4" t="s">
        <v>2093</v>
      </c>
      <c r="H253" s="4" t="s">
        <v>2094</v>
      </c>
      <c r="I253" s="4">
        <v>2050</v>
      </c>
      <c r="J253" s="4">
        <v>2900</v>
      </c>
      <c r="K253" s="4">
        <v>4350</v>
      </c>
      <c r="L253" s="4">
        <v>700</v>
      </c>
      <c r="M253" s="4" t="s">
        <v>48</v>
      </c>
      <c r="N253" s="4" t="s">
        <v>40</v>
      </c>
      <c r="O253" s="4" t="s">
        <v>50</v>
      </c>
      <c r="P253" s="4">
        <v>140</v>
      </c>
      <c r="Q253" s="4" t="s">
        <v>2095</v>
      </c>
      <c r="R253" s="4" t="s">
        <v>2096</v>
      </c>
      <c r="S253" s="4" t="s">
        <v>50</v>
      </c>
      <c r="T253" s="4" t="s">
        <v>50</v>
      </c>
      <c r="U253" s="4" t="s">
        <v>50</v>
      </c>
      <c r="V253" s="4" t="s">
        <v>197</v>
      </c>
      <c r="W253" s="4" t="s">
        <v>54</v>
      </c>
      <c r="X253" s="4" t="s">
        <v>55</v>
      </c>
      <c r="Y253" s="4" t="s">
        <v>69</v>
      </c>
      <c r="Z253" s="4" t="s">
        <v>70</v>
      </c>
      <c r="AA253" s="4">
        <v>12</v>
      </c>
      <c r="AB253" s="4">
        <f>ROUND(I253*(1-AA253/100),-1)</f>
        <v>1800</v>
      </c>
      <c r="AC253" s="4">
        <f t="shared" si="3"/>
        <v>2050</v>
      </c>
      <c r="AD253" s="4">
        <v>20</v>
      </c>
      <c r="AE253" s="4">
        <v>15</v>
      </c>
      <c r="AF253" s="4">
        <v>8</v>
      </c>
      <c r="AG253" s="4">
        <v>33</v>
      </c>
      <c r="AH253" s="4">
        <v>225</v>
      </c>
      <c r="AI253" s="4">
        <f>ROUND(300*I253*(1+AE253/100+AF253/100),0)</f>
        <v>756450</v>
      </c>
      <c r="AJ253" s="4">
        <v>4.2</v>
      </c>
      <c r="AK253" s="4">
        <v>316</v>
      </c>
      <c r="AL253" s="4" t="s">
        <v>111</v>
      </c>
      <c r="AM253" s="4" t="s">
        <v>59</v>
      </c>
    </row>
    <row r="254" spans="1:39" ht="228">
      <c r="A254" s="4" t="s">
        <v>2097</v>
      </c>
      <c r="B254" s="4" t="s">
        <v>2098</v>
      </c>
      <c r="C254" s="4" t="s">
        <v>94</v>
      </c>
      <c r="D254" s="4" t="s">
        <v>2099</v>
      </c>
      <c r="E254" s="4" t="s">
        <v>2100</v>
      </c>
      <c r="F254" s="4" t="s">
        <v>86</v>
      </c>
      <c r="G254" s="4" t="s">
        <v>2101</v>
      </c>
      <c r="H254" s="4" t="s">
        <v>2102</v>
      </c>
      <c r="I254" s="4">
        <v>2000</v>
      </c>
      <c r="J254" s="4">
        <v>2700</v>
      </c>
      <c r="K254" s="4">
        <v>4100</v>
      </c>
      <c r="L254" s="4">
        <v>550</v>
      </c>
      <c r="M254" s="4" t="s">
        <v>48</v>
      </c>
      <c r="N254" s="4" t="s">
        <v>40</v>
      </c>
      <c r="O254" s="4" t="s">
        <v>50</v>
      </c>
      <c r="P254" s="4">
        <v>115</v>
      </c>
      <c r="Q254" s="4" t="s">
        <v>2103</v>
      </c>
      <c r="R254" s="4" t="s">
        <v>2104</v>
      </c>
      <c r="S254" s="4" t="s">
        <v>50</v>
      </c>
      <c r="T254" s="4" t="s">
        <v>50</v>
      </c>
      <c r="U254" s="4" t="s">
        <v>50</v>
      </c>
      <c r="V254" s="4" t="s">
        <v>1028</v>
      </c>
      <c r="W254" s="4" t="s">
        <v>54</v>
      </c>
      <c r="X254" s="4" t="s">
        <v>55</v>
      </c>
      <c r="Y254" s="4" t="s">
        <v>69</v>
      </c>
      <c r="Z254" s="4" t="s">
        <v>70</v>
      </c>
      <c r="AA254" s="4">
        <v>8</v>
      </c>
      <c r="AB254" s="4">
        <f>ROUND(I254*(1-AA254/100),-1)</f>
        <v>1840</v>
      </c>
      <c r="AC254" s="4">
        <f t="shared" si="3"/>
        <v>2000</v>
      </c>
      <c r="AD254" s="4">
        <v>17</v>
      </c>
      <c r="AE254" s="4">
        <v>15</v>
      </c>
      <c r="AF254" s="4">
        <v>10</v>
      </c>
      <c r="AG254" s="4">
        <v>34</v>
      </c>
      <c r="AH254" s="4">
        <v>175</v>
      </c>
      <c r="AI254" s="4">
        <f>ROUND(300*I254*(1+AE254/100+AF254/100),0)</f>
        <v>750000</v>
      </c>
      <c r="AJ254" s="4">
        <v>3.9</v>
      </c>
      <c r="AK254" s="4">
        <v>786</v>
      </c>
      <c r="AL254" s="4" t="s">
        <v>111</v>
      </c>
      <c r="AM254" s="4" t="s">
        <v>59</v>
      </c>
    </row>
    <row r="255" spans="1:39" ht="228">
      <c r="A255" s="4" t="s">
        <v>2105</v>
      </c>
      <c r="B255" s="4" t="s">
        <v>2106</v>
      </c>
      <c r="C255" s="4" t="s">
        <v>94</v>
      </c>
      <c r="D255" s="4" t="s">
        <v>2107</v>
      </c>
      <c r="E255" s="4" t="s">
        <v>2108</v>
      </c>
      <c r="F255" s="4" t="s">
        <v>86</v>
      </c>
      <c r="G255" s="4" t="s">
        <v>2109</v>
      </c>
      <c r="H255" s="4" t="s">
        <v>2110</v>
      </c>
      <c r="I255" s="4">
        <v>1800</v>
      </c>
      <c r="J255" s="4">
        <v>2350</v>
      </c>
      <c r="K255" s="4">
        <v>3500</v>
      </c>
      <c r="L255" s="4">
        <v>500</v>
      </c>
      <c r="M255" s="4" t="s">
        <v>48</v>
      </c>
      <c r="N255" s="4" t="s">
        <v>40</v>
      </c>
      <c r="O255" s="4" t="s">
        <v>50</v>
      </c>
      <c r="P255" s="4">
        <v>115</v>
      </c>
      <c r="Q255" s="4" t="s">
        <v>2111</v>
      </c>
      <c r="R255" s="4" t="s">
        <v>2112</v>
      </c>
      <c r="S255" s="4" t="s">
        <v>50</v>
      </c>
      <c r="T255" s="4" t="s">
        <v>50</v>
      </c>
      <c r="U255" s="4" t="s">
        <v>50</v>
      </c>
      <c r="V255" s="4" t="s">
        <v>1028</v>
      </c>
      <c r="W255" s="4" t="s">
        <v>54</v>
      </c>
      <c r="X255" s="4" t="s">
        <v>55</v>
      </c>
      <c r="Y255" s="4" t="s">
        <v>69</v>
      </c>
      <c r="Z255" s="4" t="s">
        <v>70</v>
      </c>
      <c r="AA255" s="4">
        <v>5</v>
      </c>
      <c r="AB255" s="4">
        <f>ROUND(I255*(1-AA255/100),-1)</f>
        <v>1710</v>
      </c>
      <c r="AC255" s="4">
        <f t="shared" si="3"/>
        <v>1800</v>
      </c>
      <c r="AD255" s="4">
        <v>22</v>
      </c>
      <c r="AE255" s="4">
        <v>15</v>
      </c>
      <c r="AF255" s="4">
        <v>7</v>
      </c>
      <c r="AG255" s="4">
        <v>40</v>
      </c>
      <c r="AH255" s="4">
        <v>175</v>
      </c>
      <c r="AI255" s="4">
        <f>ROUND(300*I255*(1+AE255/100+AF255/100),0)</f>
        <v>658800</v>
      </c>
      <c r="AJ255" s="4">
        <v>3.9</v>
      </c>
      <c r="AK255" s="4">
        <v>566</v>
      </c>
      <c r="AL255" s="4" t="s">
        <v>111</v>
      </c>
      <c r="AM255" s="4" t="s">
        <v>59</v>
      </c>
    </row>
    <row r="256" spans="1:39" ht="213.75">
      <c r="A256" s="4" t="s">
        <v>2113</v>
      </c>
      <c r="B256" s="4" t="s">
        <v>2114</v>
      </c>
      <c r="C256" s="4" t="s">
        <v>94</v>
      </c>
      <c r="D256" s="4" t="s">
        <v>2115</v>
      </c>
      <c r="E256" s="4" t="s">
        <v>2116</v>
      </c>
      <c r="F256" s="4" t="s">
        <v>45</v>
      </c>
      <c r="G256" s="4" t="s">
        <v>2117</v>
      </c>
      <c r="H256" s="4" t="s">
        <v>2118</v>
      </c>
      <c r="I256" s="4">
        <v>1700</v>
      </c>
      <c r="J256" s="4">
        <v>2250</v>
      </c>
      <c r="K256" s="4">
        <v>4150</v>
      </c>
      <c r="L256" s="4">
        <v>375</v>
      </c>
      <c r="M256" s="4" t="s">
        <v>48</v>
      </c>
      <c r="N256" s="4" t="s">
        <v>40</v>
      </c>
      <c r="O256" s="4" t="s">
        <v>50</v>
      </c>
      <c r="P256" s="4">
        <v>75</v>
      </c>
      <c r="Q256" s="4" t="s">
        <v>1811</v>
      </c>
      <c r="R256" s="4" t="s">
        <v>2119</v>
      </c>
      <c r="S256" s="4" t="s">
        <v>50</v>
      </c>
      <c r="T256" s="4" t="s">
        <v>50</v>
      </c>
      <c r="U256" s="4" t="s">
        <v>50</v>
      </c>
      <c r="V256" s="4" t="s">
        <v>834</v>
      </c>
      <c r="W256" s="4" t="s">
        <v>54</v>
      </c>
      <c r="X256" s="4" t="s">
        <v>55</v>
      </c>
      <c r="Y256" s="4" t="s">
        <v>69</v>
      </c>
      <c r="Z256" s="4" t="s">
        <v>70</v>
      </c>
      <c r="AA256" s="4">
        <v>9</v>
      </c>
      <c r="AB256" s="4">
        <f>ROUND(I256*(1-AA256/100),-1)</f>
        <v>1550</v>
      </c>
      <c r="AC256" s="4">
        <f t="shared" si="3"/>
        <v>1700</v>
      </c>
      <c r="AD256" s="4">
        <v>16</v>
      </c>
      <c r="AE256" s="4">
        <v>15</v>
      </c>
      <c r="AF256" s="4">
        <v>6</v>
      </c>
      <c r="AG256" s="4">
        <v>34</v>
      </c>
      <c r="AH256" s="4">
        <v>125</v>
      </c>
      <c r="AI256" s="4">
        <f>ROUND(300*I256*(1+AE256/100+AF256/100),0)</f>
        <v>617100</v>
      </c>
      <c r="AJ256" s="4">
        <v>4.5</v>
      </c>
      <c r="AK256" s="4">
        <v>271</v>
      </c>
      <c r="AL256" s="4" t="s">
        <v>111</v>
      </c>
      <c r="AM256" s="4" t="s">
        <v>59</v>
      </c>
    </row>
    <row r="257" spans="1:39" ht="228">
      <c r="A257" s="4" t="s">
        <v>2120</v>
      </c>
      <c r="B257" s="4" t="s">
        <v>2121</v>
      </c>
      <c r="C257" s="4" t="s">
        <v>94</v>
      </c>
      <c r="D257" s="4" t="s">
        <v>2122</v>
      </c>
      <c r="E257" s="4" t="s">
        <v>2123</v>
      </c>
      <c r="F257" s="4" t="s">
        <v>163</v>
      </c>
      <c r="G257" s="4" t="s">
        <v>2124</v>
      </c>
      <c r="H257" s="4" t="s">
        <v>2125</v>
      </c>
      <c r="I257" s="4">
        <v>2050</v>
      </c>
      <c r="J257" s="4">
        <v>2750</v>
      </c>
      <c r="K257" s="4">
        <v>4650</v>
      </c>
      <c r="L257" s="4">
        <v>525</v>
      </c>
      <c r="M257" s="4" t="s">
        <v>48</v>
      </c>
      <c r="N257" s="4" t="s">
        <v>40</v>
      </c>
      <c r="O257" s="4" t="s">
        <v>50</v>
      </c>
      <c r="P257" s="4">
        <v>120</v>
      </c>
      <c r="Q257" s="4" t="s">
        <v>2126</v>
      </c>
      <c r="R257" s="4" t="s">
        <v>2127</v>
      </c>
      <c r="S257" s="4" t="s">
        <v>50</v>
      </c>
      <c r="T257" s="4" t="s">
        <v>50</v>
      </c>
      <c r="U257" s="4" t="s">
        <v>50</v>
      </c>
      <c r="V257" s="4" t="s">
        <v>178</v>
      </c>
      <c r="W257" s="4" t="s">
        <v>54</v>
      </c>
      <c r="X257" s="4" t="s">
        <v>55</v>
      </c>
      <c r="Y257" s="4" t="s">
        <v>169</v>
      </c>
      <c r="Z257" s="4" t="s">
        <v>70</v>
      </c>
      <c r="AA257" s="4">
        <v>11</v>
      </c>
      <c r="AB257" s="4">
        <f>ROUND(I257*(1-AA257/100),-1)</f>
        <v>1820</v>
      </c>
      <c r="AC257" s="4">
        <f t="shared" si="3"/>
        <v>2050</v>
      </c>
      <c r="AD257" s="4">
        <v>13</v>
      </c>
      <c r="AE257" s="4">
        <v>15</v>
      </c>
      <c r="AF257" s="4">
        <v>7</v>
      </c>
      <c r="AG257" s="4">
        <v>40</v>
      </c>
      <c r="AH257" s="4">
        <v>150</v>
      </c>
      <c r="AI257" s="4">
        <f>ROUND(300*I257*(1+AE257/100+AF257/100),0)</f>
        <v>750300</v>
      </c>
      <c r="AJ257" s="4">
        <v>4.8</v>
      </c>
      <c r="AK257" s="4">
        <v>286</v>
      </c>
      <c r="AL257" s="4" t="s">
        <v>111</v>
      </c>
      <c r="AM257" s="4" t="s">
        <v>59</v>
      </c>
    </row>
    <row r="258" spans="1:39" ht="213.75">
      <c r="A258" s="4" t="s">
        <v>2128</v>
      </c>
      <c r="B258" s="4" t="s">
        <v>2129</v>
      </c>
      <c r="C258" s="4" t="s">
        <v>94</v>
      </c>
      <c r="D258" s="4" t="s">
        <v>2130</v>
      </c>
      <c r="E258" s="4" t="s">
        <v>2131</v>
      </c>
      <c r="F258" s="4" t="s">
        <v>75</v>
      </c>
      <c r="G258" s="4" t="s">
        <v>2132</v>
      </c>
      <c r="H258" s="4" t="s">
        <v>2133</v>
      </c>
      <c r="I258" s="4">
        <v>1650</v>
      </c>
      <c r="J258" s="4">
        <v>2300</v>
      </c>
      <c r="K258" s="4">
        <v>3900</v>
      </c>
      <c r="L258" s="4">
        <v>500</v>
      </c>
      <c r="M258" s="4" t="s">
        <v>48</v>
      </c>
      <c r="N258" s="4" t="s">
        <v>40</v>
      </c>
      <c r="O258" s="4" t="s">
        <v>50</v>
      </c>
      <c r="P258" s="4">
        <v>90</v>
      </c>
      <c r="Q258" s="4" t="s">
        <v>2134</v>
      </c>
      <c r="R258" s="4" t="s">
        <v>2135</v>
      </c>
      <c r="S258" s="4" t="s">
        <v>50</v>
      </c>
      <c r="T258" s="4" t="s">
        <v>50</v>
      </c>
      <c r="U258" s="4" t="s">
        <v>50</v>
      </c>
      <c r="V258" s="4" t="s">
        <v>187</v>
      </c>
      <c r="W258" s="4" t="s">
        <v>54</v>
      </c>
      <c r="X258" s="4" t="s">
        <v>55</v>
      </c>
      <c r="Y258" s="4" t="s">
        <v>69</v>
      </c>
      <c r="Z258" s="4" t="s">
        <v>70</v>
      </c>
      <c r="AA258" s="4">
        <v>10</v>
      </c>
      <c r="AB258" s="4">
        <f>ROUND(I258*(1-AA258/100),-1)</f>
        <v>1490</v>
      </c>
      <c r="AC258" s="4">
        <f t="shared" ref="AC258:AC274" si="4">I258</f>
        <v>1650</v>
      </c>
      <c r="AD258" s="4">
        <v>10</v>
      </c>
      <c r="AE258" s="4">
        <v>15</v>
      </c>
      <c r="AF258" s="4">
        <v>6</v>
      </c>
      <c r="AG258" s="4">
        <v>42</v>
      </c>
      <c r="AH258" s="4">
        <v>175</v>
      </c>
      <c r="AI258" s="4">
        <f>ROUND(300*I258*(1+AE258/100+AF258/100),0)</f>
        <v>598950</v>
      </c>
      <c r="AJ258" s="4">
        <v>4.2</v>
      </c>
      <c r="AK258" s="4">
        <v>308</v>
      </c>
      <c r="AL258" s="4" t="s">
        <v>111</v>
      </c>
      <c r="AM258" s="4" t="s">
        <v>59</v>
      </c>
    </row>
    <row r="259" spans="1:39" ht="228">
      <c r="A259" s="4" t="s">
        <v>2136</v>
      </c>
      <c r="B259" s="4" t="s">
        <v>2137</v>
      </c>
      <c r="C259" s="4" t="s">
        <v>94</v>
      </c>
      <c r="D259" s="4" t="s">
        <v>2138</v>
      </c>
      <c r="E259" s="4" t="s">
        <v>2139</v>
      </c>
      <c r="F259" s="4" t="s">
        <v>86</v>
      </c>
      <c r="G259" s="4" t="s">
        <v>2140</v>
      </c>
      <c r="H259" s="4" t="s">
        <v>2141</v>
      </c>
      <c r="I259" s="4">
        <v>1900</v>
      </c>
      <c r="J259" s="4">
        <v>2750</v>
      </c>
      <c r="K259" s="4">
        <v>3950</v>
      </c>
      <c r="L259" s="4">
        <v>525</v>
      </c>
      <c r="M259" s="4" t="s">
        <v>48</v>
      </c>
      <c r="N259" s="4" t="s">
        <v>40</v>
      </c>
      <c r="O259" s="4" t="s">
        <v>50</v>
      </c>
      <c r="P259" s="4">
        <v>110</v>
      </c>
      <c r="Q259" s="4" t="s">
        <v>1176</v>
      </c>
      <c r="R259" s="4" t="s">
        <v>2142</v>
      </c>
      <c r="S259" s="4" t="s">
        <v>50</v>
      </c>
      <c r="T259" s="4" t="s">
        <v>50</v>
      </c>
      <c r="U259" s="4" t="s">
        <v>50</v>
      </c>
      <c r="V259" s="4" t="s">
        <v>1028</v>
      </c>
      <c r="W259" s="4" t="s">
        <v>54</v>
      </c>
      <c r="X259" s="4" t="s">
        <v>55</v>
      </c>
      <c r="Y259" s="4" t="s">
        <v>69</v>
      </c>
      <c r="Z259" s="4" t="s">
        <v>70</v>
      </c>
      <c r="AA259" s="4">
        <v>6</v>
      </c>
      <c r="AB259" s="4">
        <f>ROUND(I259*(1-AA259/100),-1)</f>
        <v>1790</v>
      </c>
      <c r="AC259" s="4">
        <f t="shared" si="4"/>
        <v>1900</v>
      </c>
      <c r="AD259" s="4">
        <v>11</v>
      </c>
      <c r="AE259" s="4">
        <v>15</v>
      </c>
      <c r="AF259" s="4">
        <v>7</v>
      </c>
      <c r="AG259" s="4">
        <v>40</v>
      </c>
      <c r="AH259" s="4">
        <v>200</v>
      </c>
      <c r="AI259" s="4">
        <f>ROUND(300*I259*(1+AE259/100+AF259/100),0)</f>
        <v>695400</v>
      </c>
      <c r="AJ259" s="4">
        <v>4.5999999999999996</v>
      </c>
      <c r="AK259" s="4">
        <v>749</v>
      </c>
      <c r="AL259" s="4" t="s">
        <v>111</v>
      </c>
      <c r="AM259" s="4" t="s">
        <v>59</v>
      </c>
    </row>
    <row r="260" spans="1:39" ht="228">
      <c r="A260" s="4" t="s">
        <v>2143</v>
      </c>
      <c r="B260" s="4" t="s">
        <v>2144</v>
      </c>
      <c r="C260" s="4" t="s">
        <v>94</v>
      </c>
      <c r="D260" s="4" t="s">
        <v>2145</v>
      </c>
      <c r="E260" s="4" t="s">
        <v>2146</v>
      </c>
      <c r="F260" s="4" t="s">
        <v>75</v>
      </c>
      <c r="G260" s="4" t="s">
        <v>2147</v>
      </c>
      <c r="H260" s="4" t="s">
        <v>2148</v>
      </c>
      <c r="I260" s="4">
        <v>1750</v>
      </c>
      <c r="J260" s="4">
        <v>2250</v>
      </c>
      <c r="K260" s="4">
        <v>3200</v>
      </c>
      <c r="L260" s="4">
        <v>450</v>
      </c>
      <c r="M260" s="4" t="s">
        <v>48</v>
      </c>
      <c r="N260" s="4" t="s">
        <v>40</v>
      </c>
      <c r="O260" s="4" t="s">
        <v>50</v>
      </c>
      <c r="P260" s="4">
        <v>100</v>
      </c>
      <c r="Q260" s="4" t="s">
        <v>2149</v>
      </c>
      <c r="R260" s="4" t="s">
        <v>2150</v>
      </c>
      <c r="S260" s="4" t="s">
        <v>50</v>
      </c>
      <c r="T260" s="4" t="s">
        <v>50</v>
      </c>
      <c r="U260" s="4" t="s">
        <v>50</v>
      </c>
      <c r="V260" s="4" t="s">
        <v>187</v>
      </c>
      <c r="W260" s="4" t="s">
        <v>54</v>
      </c>
      <c r="X260" s="4" t="s">
        <v>55</v>
      </c>
      <c r="Y260" s="4" t="s">
        <v>69</v>
      </c>
      <c r="Z260" s="4" t="s">
        <v>70</v>
      </c>
      <c r="AA260" s="4">
        <v>6</v>
      </c>
      <c r="AB260" s="4">
        <f>ROUND(I260*(1-AA260/100),-1)</f>
        <v>1650</v>
      </c>
      <c r="AC260" s="4">
        <f t="shared" si="4"/>
        <v>1750</v>
      </c>
      <c r="AD260" s="4">
        <v>18</v>
      </c>
      <c r="AE260" s="4">
        <v>15</v>
      </c>
      <c r="AF260" s="4">
        <v>7</v>
      </c>
      <c r="AG260" s="4">
        <v>45</v>
      </c>
      <c r="AH260" s="4">
        <v>125</v>
      </c>
      <c r="AI260" s="4">
        <f>ROUND(300*I260*(1+AE260/100+AF260/100),0)</f>
        <v>640500</v>
      </c>
      <c r="AJ260" s="4">
        <v>4.5</v>
      </c>
      <c r="AK260" s="4">
        <v>573</v>
      </c>
      <c r="AL260" s="4" t="s">
        <v>111</v>
      </c>
      <c r="AM260" s="4" t="s">
        <v>59</v>
      </c>
    </row>
    <row r="261" spans="1:39" ht="228">
      <c r="A261" s="4" t="s">
        <v>2151</v>
      </c>
      <c r="B261" s="4" t="s">
        <v>2152</v>
      </c>
      <c r="C261" s="4" t="s">
        <v>72</v>
      </c>
      <c r="D261" s="4" t="s">
        <v>2153</v>
      </c>
      <c r="E261" s="4" t="s">
        <v>1324</v>
      </c>
      <c r="F261" s="4" t="s">
        <v>282</v>
      </c>
      <c r="G261" s="4" t="s">
        <v>2154</v>
      </c>
      <c r="H261" s="4" t="s">
        <v>2155</v>
      </c>
      <c r="I261" s="4">
        <v>2750</v>
      </c>
      <c r="J261" s="4">
        <v>3450</v>
      </c>
      <c r="K261" s="4">
        <v>5500</v>
      </c>
      <c r="L261" s="4">
        <v>475</v>
      </c>
      <c r="M261" s="4" t="s">
        <v>48</v>
      </c>
      <c r="N261" s="4" t="s">
        <v>40</v>
      </c>
      <c r="O261" s="4" t="s">
        <v>50</v>
      </c>
      <c r="P261" s="4">
        <v>100</v>
      </c>
      <c r="Q261" s="4" t="s">
        <v>2156</v>
      </c>
      <c r="R261" s="4" t="s">
        <v>2157</v>
      </c>
      <c r="S261" s="4" t="s">
        <v>50</v>
      </c>
      <c r="T261" s="4" t="s">
        <v>50</v>
      </c>
      <c r="U261" s="4" t="s">
        <v>50</v>
      </c>
      <c r="V261" s="4" t="s">
        <v>1288</v>
      </c>
      <c r="W261" s="4" t="s">
        <v>54</v>
      </c>
      <c r="X261" s="4" t="s">
        <v>55</v>
      </c>
      <c r="Y261" s="4" t="s">
        <v>69</v>
      </c>
      <c r="Z261" s="4" t="s">
        <v>57</v>
      </c>
      <c r="AA261" s="4">
        <v>7</v>
      </c>
      <c r="AB261" s="4">
        <f>ROUND(I261*(1-AA261/100),-1)</f>
        <v>2560</v>
      </c>
      <c r="AC261" s="4">
        <f t="shared" si="4"/>
        <v>2750</v>
      </c>
      <c r="AD261" s="4">
        <v>12</v>
      </c>
      <c r="AE261" s="4">
        <v>15</v>
      </c>
      <c r="AF261" s="4">
        <v>6</v>
      </c>
      <c r="AG261" s="4">
        <v>36</v>
      </c>
      <c r="AH261" s="4">
        <v>150</v>
      </c>
      <c r="AI261" s="4">
        <f>ROUND(300*I261*(1+AE261/100+AF261/100),0)</f>
        <v>998250</v>
      </c>
      <c r="AJ261" s="4">
        <v>4.3</v>
      </c>
      <c r="AK261" s="4">
        <v>717</v>
      </c>
      <c r="AL261" s="4" t="s">
        <v>111</v>
      </c>
      <c r="AM261" s="4" t="s">
        <v>59</v>
      </c>
    </row>
    <row r="262" spans="1:39" ht="228">
      <c r="A262" s="4" t="s">
        <v>2158</v>
      </c>
      <c r="B262" s="4" t="s">
        <v>2159</v>
      </c>
      <c r="C262" s="4" t="s">
        <v>72</v>
      </c>
      <c r="D262" s="4" t="s">
        <v>2160</v>
      </c>
      <c r="E262" s="4" t="s">
        <v>2161</v>
      </c>
      <c r="F262" s="4" t="s">
        <v>153</v>
      </c>
      <c r="G262" s="4" t="s">
        <v>2162</v>
      </c>
      <c r="H262" s="4" t="s">
        <v>2163</v>
      </c>
      <c r="I262" s="4">
        <v>2700</v>
      </c>
      <c r="J262" s="4">
        <v>3200</v>
      </c>
      <c r="K262" s="4">
        <v>4450</v>
      </c>
      <c r="L262" s="4">
        <v>600</v>
      </c>
      <c r="M262" s="4" t="s">
        <v>48</v>
      </c>
      <c r="N262" s="4" t="s">
        <v>40</v>
      </c>
      <c r="O262" s="4" t="s">
        <v>50</v>
      </c>
      <c r="P262" s="4">
        <v>170</v>
      </c>
      <c r="Q262" s="4" t="s">
        <v>2164</v>
      </c>
      <c r="R262" s="4" t="s">
        <v>2165</v>
      </c>
      <c r="S262" s="4" t="s">
        <v>50</v>
      </c>
      <c r="T262" s="4" t="s">
        <v>50</v>
      </c>
      <c r="U262" s="4" t="s">
        <v>50</v>
      </c>
      <c r="V262" s="4" t="s">
        <v>215</v>
      </c>
      <c r="W262" s="4" t="s">
        <v>54</v>
      </c>
      <c r="X262" s="4" t="s">
        <v>55</v>
      </c>
      <c r="Y262" s="4" t="s">
        <v>69</v>
      </c>
      <c r="Z262" s="4" t="s">
        <v>57</v>
      </c>
      <c r="AA262" s="4">
        <v>7</v>
      </c>
      <c r="AB262" s="4">
        <f>ROUND(I262*(1-AA262/100),-1)</f>
        <v>2510</v>
      </c>
      <c r="AC262" s="4">
        <f t="shared" si="4"/>
        <v>2700</v>
      </c>
      <c r="AD262" s="4">
        <v>18</v>
      </c>
      <c r="AE262" s="4">
        <v>15</v>
      </c>
      <c r="AF262" s="4">
        <v>10</v>
      </c>
      <c r="AG262" s="4">
        <v>44</v>
      </c>
      <c r="AH262" s="4">
        <v>175</v>
      </c>
      <c r="AI262" s="4">
        <f>ROUND(300*I262*(1+AE262/100+AF262/100),0)</f>
        <v>1012500</v>
      </c>
      <c r="AJ262" s="4">
        <v>4.7</v>
      </c>
      <c r="AK262" s="4">
        <v>63</v>
      </c>
      <c r="AL262" s="4" t="s">
        <v>111</v>
      </c>
      <c r="AM262" s="4" t="s">
        <v>59</v>
      </c>
    </row>
    <row r="263" spans="1:39" ht="228">
      <c r="A263" s="4" t="s">
        <v>2166</v>
      </c>
      <c r="B263" s="4" t="s">
        <v>2167</v>
      </c>
      <c r="C263" s="4" t="s">
        <v>94</v>
      </c>
      <c r="D263" s="4" t="s">
        <v>2168</v>
      </c>
      <c r="E263" s="4" t="s">
        <v>2169</v>
      </c>
      <c r="F263" s="4" t="s">
        <v>153</v>
      </c>
      <c r="G263" s="4" t="s">
        <v>2170</v>
      </c>
      <c r="H263" s="4" t="s">
        <v>2171</v>
      </c>
      <c r="I263" s="4">
        <v>1950</v>
      </c>
      <c r="J263" s="4">
        <v>2400</v>
      </c>
      <c r="K263" s="4">
        <v>4350</v>
      </c>
      <c r="L263" s="4">
        <v>575</v>
      </c>
      <c r="M263" s="4" t="s">
        <v>48</v>
      </c>
      <c r="N263" s="4" t="s">
        <v>40</v>
      </c>
      <c r="O263" s="4" t="s">
        <v>50</v>
      </c>
      <c r="P263" s="4">
        <v>150</v>
      </c>
      <c r="Q263" s="4" t="s">
        <v>2172</v>
      </c>
      <c r="R263" s="4" t="s">
        <v>2173</v>
      </c>
      <c r="S263" s="4" t="s">
        <v>50</v>
      </c>
      <c r="T263" s="4" t="s">
        <v>50</v>
      </c>
      <c r="U263" s="4" t="s">
        <v>50</v>
      </c>
      <c r="V263" s="4" t="s">
        <v>867</v>
      </c>
      <c r="W263" s="4" t="s">
        <v>54</v>
      </c>
      <c r="X263" s="4" t="s">
        <v>55</v>
      </c>
      <c r="Y263" s="4" t="s">
        <v>69</v>
      </c>
      <c r="Z263" s="4" t="s">
        <v>70</v>
      </c>
      <c r="AA263" s="4">
        <v>11</v>
      </c>
      <c r="AB263" s="4">
        <f>ROUND(I263*(1-AA263/100),-1)</f>
        <v>1740</v>
      </c>
      <c r="AC263" s="4">
        <f t="shared" si="4"/>
        <v>1950</v>
      </c>
      <c r="AD263" s="4">
        <v>12</v>
      </c>
      <c r="AE263" s="4">
        <v>15</v>
      </c>
      <c r="AF263" s="4">
        <v>7</v>
      </c>
      <c r="AG263" s="4">
        <v>44</v>
      </c>
      <c r="AH263" s="4">
        <v>225</v>
      </c>
      <c r="AI263" s="4">
        <f>ROUND(300*I263*(1+AE263/100+AF263/100),0)</f>
        <v>713700</v>
      </c>
      <c r="AJ263" s="4">
        <v>4.7</v>
      </c>
      <c r="AK263" s="4">
        <v>493</v>
      </c>
      <c r="AL263" s="4" t="s">
        <v>111</v>
      </c>
      <c r="AM263" s="4" t="s">
        <v>59</v>
      </c>
    </row>
    <row r="264" spans="1:39" ht="228">
      <c r="A264" s="4" t="s">
        <v>2174</v>
      </c>
      <c r="B264" s="4" t="s">
        <v>2175</v>
      </c>
      <c r="C264" s="4" t="s">
        <v>94</v>
      </c>
      <c r="D264" s="4" t="s">
        <v>2176</v>
      </c>
      <c r="E264" s="4" t="s">
        <v>2177</v>
      </c>
      <c r="F264" s="4" t="s">
        <v>65</v>
      </c>
      <c r="G264" s="4" t="s">
        <v>2178</v>
      </c>
      <c r="H264" s="4" t="s">
        <v>2179</v>
      </c>
      <c r="I264" s="4">
        <v>1750</v>
      </c>
      <c r="J264" s="4">
        <v>2700</v>
      </c>
      <c r="K264" s="4">
        <v>3850</v>
      </c>
      <c r="L264" s="4">
        <v>650</v>
      </c>
      <c r="M264" s="4" t="s">
        <v>48</v>
      </c>
      <c r="N264" s="4" t="s">
        <v>40</v>
      </c>
      <c r="O264" s="4" t="s">
        <v>50</v>
      </c>
      <c r="P264" s="4">
        <v>135</v>
      </c>
      <c r="Q264" s="4" t="s">
        <v>1452</v>
      </c>
      <c r="R264" s="4" t="s">
        <v>2180</v>
      </c>
      <c r="S264" s="4" t="s">
        <v>50</v>
      </c>
      <c r="T264" s="4" t="s">
        <v>50</v>
      </c>
      <c r="U264" s="4" t="s">
        <v>50</v>
      </c>
      <c r="V264" s="4" t="s">
        <v>608</v>
      </c>
      <c r="W264" s="4" t="s">
        <v>54</v>
      </c>
      <c r="X264" s="4" t="s">
        <v>55</v>
      </c>
      <c r="Y264" s="4" t="s">
        <v>69</v>
      </c>
      <c r="Z264" s="4" t="s">
        <v>70</v>
      </c>
      <c r="AA264" s="4">
        <v>6</v>
      </c>
      <c r="AB264" s="4">
        <f>ROUND(I264*(1-AA264/100),-1)</f>
        <v>1650</v>
      </c>
      <c r="AC264" s="4">
        <f t="shared" si="4"/>
        <v>1750</v>
      </c>
      <c r="AD264" s="4">
        <v>15</v>
      </c>
      <c r="AE264" s="4">
        <v>15</v>
      </c>
      <c r="AF264" s="4">
        <v>7</v>
      </c>
      <c r="AG264" s="4">
        <v>44</v>
      </c>
      <c r="AH264" s="4">
        <v>225</v>
      </c>
      <c r="AI264" s="4">
        <f>ROUND(300*I264*(1+AE264/100+AF264/100),0)</f>
        <v>640500</v>
      </c>
      <c r="AJ264" s="4">
        <v>4.0999999999999996</v>
      </c>
      <c r="AK264" s="4">
        <v>44</v>
      </c>
      <c r="AL264" s="4" t="s">
        <v>111</v>
      </c>
      <c r="AM264" s="4" t="s">
        <v>59</v>
      </c>
    </row>
    <row r="265" spans="1:39" ht="228">
      <c r="A265" s="4" t="s">
        <v>2181</v>
      </c>
      <c r="B265" s="4" t="s">
        <v>2182</v>
      </c>
      <c r="C265" s="4" t="s">
        <v>72</v>
      </c>
      <c r="D265" s="4" t="s">
        <v>2183</v>
      </c>
      <c r="E265" s="4" t="s">
        <v>2184</v>
      </c>
      <c r="F265" s="4" t="s">
        <v>86</v>
      </c>
      <c r="G265" s="4" t="s">
        <v>2185</v>
      </c>
      <c r="H265" s="4" t="s">
        <v>2186</v>
      </c>
      <c r="I265" s="4">
        <v>2400</v>
      </c>
      <c r="J265" s="4">
        <v>3100</v>
      </c>
      <c r="K265" s="4">
        <v>4200</v>
      </c>
      <c r="L265" s="4">
        <v>625</v>
      </c>
      <c r="M265" s="4" t="s">
        <v>48</v>
      </c>
      <c r="N265" s="4" t="s">
        <v>60</v>
      </c>
      <c r="O265" s="4" t="s">
        <v>50</v>
      </c>
      <c r="P265" s="4">
        <v>135</v>
      </c>
      <c r="Q265" s="4" t="s">
        <v>2187</v>
      </c>
      <c r="R265" s="4" t="s">
        <v>2188</v>
      </c>
      <c r="S265" s="4" t="s">
        <v>50</v>
      </c>
      <c r="T265" s="4" t="s">
        <v>50</v>
      </c>
      <c r="U265" s="4" t="s">
        <v>50</v>
      </c>
      <c r="V265" s="4" t="s">
        <v>2189</v>
      </c>
      <c r="W265" s="4" t="s">
        <v>54</v>
      </c>
      <c r="X265" s="4" t="s">
        <v>55</v>
      </c>
      <c r="Y265" s="4" t="s">
        <v>56</v>
      </c>
      <c r="Z265" s="4" t="s">
        <v>57</v>
      </c>
      <c r="AA265" s="4">
        <v>11</v>
      </c>
      <c r="AB265" s="4">
        <f>ROUND(I265*(1-AA265/100),-1)</f>
        <v>2140</v>
      </c>
      <c r="AC265" s="4">
        <f t="shared" si="4"/>
        <v>2400</v>
      </c>
      <c r="AD265" s="4">
        <v>13</v>
      </c>
      <c r="AE265" s="4">
        <v>15</v>
      </c>
      <c r="AF265" s="4">
        <v>6</v>
      </c>
      <c r="AG265" s="4">
        <v>44</v>
      </c>
      <c r="AH265" s="4">
        <v>200</v>
      </c>
      <c r="AI265" s="4">
        <f>ROUND(300*I265*(1+AE265/100+AF265/100),0)</f>
        <v>871200</v>
      </c>
      <c r="AJ265" s="4">
        <v>4.4000000000000004</v>
      </c>
      <c r="AK265" s="4">
        <v>744</v>
      </c>
      <c r="AL265" s="4" t="s">
        <v>111</v>
      </c>
      <c r="AM265" s="4" t="s">
        <v>59</v>
      </c>
    </row>
    <row r="266" spans="1:39" ht="228">
      <c r="A266" s="4" t="s">
        <v>2190</v>
      </c>
      <c r="B266" s="4" t="s">
        <v>2191</v>
      </c>
      <c r="C266" s="4" t="s">
        <v>94</v>
      </c>
      <c r="D266" s="4" t="s">
        <v>2192</v>
      </c>
      <c r="E266" s="4" t="s">
        <v>2193</v>
      </c>
      <c r="F266" s="4" t="s">
        <v>75</v>
      </c>
      <c r="G266" s="4" t="s">
        <v>2194</v>
      </c>
      <c r="H266" s="4" t="s">
        <v>2195</v>
      </c>
      <c r="I266" s="4">
        <v>2150</v>
      </c>
      <c r="J266" s="4">
        <v>2600</v>
      </c>
      <c r="K266" s="4">
        <v>4550</v>
      </c>
      <c r="L266" s="4">
        <v>625</v>
      </c>
      <c r="M266" s="4" t="s">
        <v>48</v>
      </c>
      <c r="N266" s="4" t="s">
        <v>40</v>
      </c>
      <c r="O266" s="4" t="s">
        <v>50</v>
      </c>
      <c r="P266" s="4">
        <v>120</v>
      </c>
      <c r="Q266" s="4" t="s">
        <v>239</v>
      </c>
      <c r="R266" s="4" t="s">
        <v>2196</v>
      </c>
      <c r="S266" s="4" t="s">
        <v>50</v>
      </c>
      <c r="T266" s="4" t="s">
        <v>50</v>
      </c>
      <c r="U266" s="4" t="s">
        <v>50</v>
      </c>
      <c r="V266" s="4" t="s">
        <v>148</v>
      </c>
      <c r="W266" s="4" t="s">
        <v>54</v>
      </c>
      <c r="X266" s="4" t="s">
        <v>55</v>
      </c>
      <c r="Y266" s="4" t="s">
        <v>69</v>
      </c>
      <c r="Z266" s="4" t="s">
        <v>70</v>
      </c>
      <c r="AA266" s="4">
        <v>9</v>
      </c>
      <c r="AB266" s="4">
        <f>ROUND(I266*(1-AA266/100),-1)</f>
        <v>1960</v>
      </c>
      <c r="AC266" s="4">
        <f t="shared" si="4"/>
        <v>2150</v>
      </c>
      <c r="AD266" s="4">
        <v>12</v>
      </c>
      <c r="AE266" s="4">
        <v>15</v>
      </c>
      <c r="AF266" s="4">
        <v>6</v>
      </c>
      <c r="AG266" s="4">
        <v>36</v>
      </c>
      <c r="AH266" s="4">
        <v>250</v>
      </c>
      <c r="AI266" s="4">
        <f>ROUND(300*I266*(1+AE266/100+AF266/100),0)</f>
        <v>780450</v>
      </c>
      <c r="AJ266" s="4">
        <v>4</v>
      </c>
      <c r="AK266" s="4">
        <v>814</v>
      </c>
      <c r="AL266" s="4" t="s">
        <v>111</v>
      </c>
      <c r="AM266" s="4" t="s">
        <v>59</v>
      </c>
    </row>
    <row r="267" spans="1:39" ht="256.5">
      <c r="A267" s="4" t="s">
        <v>2197</v>
      </c>
      <c r="B267" s="4" t="s">
        <v>2198</v>
      </c>
      <c r="C267" s="4" t="s">
        <v>72</v>
      </c>
      <c r="D267" s="4" t="s">
        <v>2199</v>
      </c>
      <c r="E267" s="4" t="s">
        <v>1394</v>
      </c>
      <c r="F267" s="4" t="s">
        <v>75</v>
      </c>
      <c r="G267" s="4" t="s">
        <v>2200</v>
      </c>
      <c r="H267" s="4" t="s">
        <v>2201</v>
      </c>
      <c r="I267" s="4">
        <v>2450</v>
      </c>
      <c r="J267" s="4">
        <v>3150</v>
      </c>
      <c r="K267" s="4">
        <v>5100</v>
      </c>
      <c r="L267" s="4">
        <v>750</v>
      </c>
      <c r="M267" s="4" t="s">
        <v>40</v>
      </c>
      <c r="N267" s="4" t="s">
        <v>40</v>
      </c>
      <c r="O267" s="4" t="s">
        <v>50</v>
      </c>
      <c r="P267" s="4">
        <v>145</v>
      </c>
      <c r="Q267" s="4" t="s">
        <v>2202</v>
      </c>
      <c r="R267" s="4" t="s">
        <v>2203</v>
      </c>
      <c r="S267" s="4" t="s">
        <v>50</v>
      </c>
      <c r="T267" s="4" t="s">
        <v>50</v>
      </c>
      <c r="U267" s="4" t="s">
        <v>50</v>
      </c>
      <c r="V267" s="4" t="s">
        <v>139</v>
      </c>
      <c r="W267" s="4" t="s">
        <v>54</v>
      </c>
      <c r="X267" s="4" t="s">
        <v>55</v>
      </c>
      <c r="Y267" s="4" t="s">
        <v>81</v>
      </c>
      <c r="Z267" s="4" t="s">
        <v>57</v>
      </c>
      <c r="AA267" s="4">
        <v>9</v>
      </c>
      <c r="AB267" s="4">
        <f>ROUND(I267*(1-AA267/100),-1)</f>
        <v>2230</v>
      </c>
      <c r="AC267" s="4">
        <f t="shared" si="4"/>
        <v>2450</v>
      </c>
      <c r="AD267" s="4">
        <v>18</v>
      </c>
      <c r="AE267" s="4">
        <v>15</v>
      </c>
      <c r="AF267" s="4">
        <v>5</v>
      </c>
      <c r="AG267" s="4">
        <v>33</v>
      </c>
      <c r="AH267" s="4">
        <v>225</v>
      </c>
      <c r="AI267" s="4">
        <f>ROUND(300*I267*(1+AE267/100+AF267/100),0)</f>
        <v>882000</v>
      </c>
      <c r="AJ267" s="4">
        <v>4.3</v>
      </c>
      <c r="AK267" s="4">
        <v>555</v>
      </c>
      <c r="AL267" s="4" t="s">
        <v>111</v>
      </c>
      <c r="AM267" s="4" t="s">
        <v>59</v>
      </c>
    </row>
    <row r="268" spans="1:39" ht="228">
      <c r="A268" s="4" t="s">
        <v>2204</v>
      </c>
      <c r="B268" s="4" t="s">
        <v>2205</v>
      </c>
      <c r="C268" s="4" t="s">
        <v>72</v>
      </c>
      <c r="D268" s="4" t="s">
        <v>2206</v>
      </c>
      <c r="E268" s="4" t="s">
        <v>2207</v>
      </c>
      <c r="F268" s="4" t="s">
        <v>163</v>
      </c>
      <c r="G268" s="4" t="s">
        <v>2208</v>
      </c>
      <c r="H268" s="4" t="s">
        <v>2209</v>
      </c>
      <c r="I268" s="4">
        <v>2500</v>
      </c>
      <c r="J268" s="4">
        <v>2950</v>
      </c>
      <c r="K268" s="4">
        <v>4050</v>
      </c>
      <c r="L268" s="4">
        <v>600</v>
      </c>
      <c r="M268" s="4" t="s">
        <v>48</v>
      </c>
      <c r="N268" s="4" t="s">
        <v>40</v>
      </c>
      <c r="O268" s="4" t="s">
        <v>50</v>
      </c>
      <c r="P268" s="4">
        <v>135</v>
      </c>
      <c r="Q268" s="4" t="s">
        <v>2210</v>
      </c>
      <c r="R268" s="4" t="s">
        <v>2211</v>
      </c>
      <c r="S268" s="4" t="s">
        <v>50</v>
      </c>
      <c r="T268" s="4" t="s">
        <v>50</v>
      </c>
      <c r="U268" s="4" t="s">
        <v>50</v>
      </c>
      <c r="V268" s="4" t="s">
        <v>296</v>
      </c>
      <c r="W268" s="4" t="s">
        <v>54</v>
      </c>
      <c r="X268" s="4" t="s">
        <v>55</v>
      </c>
      <c r="Y268" s="4" t="s">
        <v>169</v>
      </c>
      <c r="Z268" s="4" t="s">
        <v>57</v>
      </c>
      <c r="AA268" s="4">
        <v>5</v>
      </c>
      <c r="AB268" s="4">
        <f>ROUND(I268*(1-AA268/100),-1)</f>
        <v>2380</v>
      </c>
      <c r="AC268" s="4">
        <f t="shared" si="4"/>
        <v>2500</v>
      </c>
      <c r="AD268" s="4">
        <v>13</v>
      </c>
      <c r="AE268" s="4">
        <v>15</v>
      </c>
      <c r="AF268" s="4">
        <v>6</v>
      </c>
      <c r="AG268" s="4">
        <v>31</v>
      </c>
      <c r="AH268" s="4">
        <v>200</v>
      </c>
      <c r="AI268" s="4">
        <f>ROUND(300*I268*(1+AE268/100+AF268/100),0)</f>
        <v>907500</v>
      </c>
      <c r="AJ268" s="4">
        <v>4.5999999999999996</v>
      </c>
      <c r="AK268" s="4">
        <v>160</v>
      </c>
      <c r="AL268" s="4" t="s">
        <v>111</v>
      </c>
      <c r="AM268" s="4" t="s">
        <v>59</v>
      </c>
    </row>
    <row r="269" spans="1:39" ht="213.75">
      <c r="A269" s="4" t="s">
        <v>2212</v>
      </c>
      <c r="B269" s="4" t="s">
        <v>2213</v>
      </c>
      <c r="C269" s="4" t="s">
        <v>700</v>
      </c>
      <c r="D269" s="4" t="s">
        <v>2214</v>
      </c>
      <c r="E269" s="4" t="s">
        <v>2215</v>
      </c>
      <c r="F269" s="4" t="s">
        <v>65</v>
      </c>
      <c r="G269" s="4" t="s">
        <v>2216</v>
      </c>
      <c r="H269" s="4" t="s">
        <v>2217</v>
      </c>
      <c r="I269" s="4">
        <v>1450</v>
      </c>
      <c r="J269" s="4">
        <v>2350</v>
      </c>
      <c r="K269" s="4">
        <v>3800</v>
      </c>
      <c r="L269" s="4">
        <v>325</v>
      </c>
      <c r="M269" s="4" t="s">
        <v>48</v>
      </c>
      <c r="N269" s="4" t="s">
        <v>40</v>
      </c>
      <c r="O269" s="4" t="s">
        <v>50</v>
      </c>
      <c r="P269" s="4">
        <v>60</v>
      </c>
      <c r="Q269" s="4" t="s">
        <v>2218</v>
      </c>
      <c r="R269" s="4" t="s">
        <v>2219</v>
      </c>
      <c r="S269" s="4" t="s">
        <v>50</v>
      </c>
      <c r="T269" s="4" t="s">
        <v>50</v>
      </c>
      <c r="U269" s="4" t="s">
        <v>50</v>
      </c>
      <c r="V269" s="4" t="s">
        <v>705</v>
      </c>
      <c r="W269" s="4" t="s">
        <v>54</v>
      </c>
      <c r="X269" s="4" t="s">
        <v>55</v>
      </c>
      <c r="Y269" s="4" t="s">
        <v>69</v>
      </c>
      <c r="Z269" s="4" t="s">
        <v>706</v>
      </c>
      <c r="AA269" s="4">
        <v>5</v>
      </c>
      <c r="AB269" s="4">
        <f>ROUND(I269*(1-AA269/100),-1)</f>
        <v>1380</v>
      </c>
      <c r="AC269" s="4">
        <f t="shared" si="4"/>
        <v>1450</v>
      </c>
      <c r="AD269" s="4">
        <v>15</v>
      </c>
      <c r="AE269" s="4">
        <v>15</v>
      </c>
      <c r="AF269" s="4">
        <v>6</v>
      </c>
      <c r="AG269" s="4">
        <v>34</v>
      </c>
      <c r="AH269" s="4">
        <v>100</v>
      </c>
      <c r="AI269" s="4">
        <f>ROUND(300*I269*(1+AE269/100+AF269/100),0)</f>
        <v>526350</v>
      </c>
      <c r="AJ269" s="4">
        <v>4.5999999999999996</v>
      </c>
      <c r="AK269" s="4">
        <v>171</v>
      </c>
      <c r="AL269" s="4" t="s">
        <v>111</v>
      </c>
      <c r="AM269" s="4" t="s">
        <v>59</v>
      </c>
    </row>
    <row r="270" spans="1:39" ht="256.5">
      <c r="A270" s="4" t="s">
        <v>2220</v>
      </c>
      <c r="B270" s="4" t="s">
        <v>2221</v>
      </c>
      <c r="C270" s="4" t="s">
        <v>72</v>
      </c>
      <c r="D270" s="4" t="s">
        <v>2222</v>
      </c>
      <c r="E270" s="4" t="s">
        <v>871</v>
      </c>
      <c r="F270" s="4" t="s">
        <v>163</v>
      </c>
      <c r="G270" s="4" t="s">
        <v>2223</v>
      </c>
      <c r="H270" s="4" t="s">
        <v>2224</v>
      </c>
      <c r="I270" s="4">
        <v>2450</v>
      </c>
      <c r="J270" s="4">
        <v>3050</v>
      </c>
      <c r="K270" s="4">
        <v>4100</v>
      </c>
      <c r="L270" s="4">
        <v>1050</v>
      </c>
      <c r="M270" s="4" t="s">
        <v>40</v>
      </c>
      <c r="N270" s="4" t="s">
        <v>49</v>
      </c>
      <c r="O270" s="4" t="s">
        <v>50</v>
      </c>
      <c r="P270" s="4">
        <v>300</v>
      </c>
      <c r="Q270" s="4" t="s">
        <v>2225</v>
      </c>
      <c r="R270" s="4" t="s">
        <v>2226</v>
      </c>
      <c r="S270" s="4" t="s">
        <v>50</v>
      </c>
      <c r="T270" s="4" t="s">
        <v>50</v>
      </c>
      <c r="U270" s="4" t="s">
        <v>50</v>
      </c>
      <c r="V270" s="4" t="s">
        <v>980</v>
      </c>
      <c r="W270" s="4" t="s">
        <v>54</v>
      </c>
      <c r="X270" s="4" t="s">
        <v>55</v>
      </c>
      <c r="Y270" s="4" t="s">
        <v>169</v>
      </c>
      <c r="Z270" s="4" t="s">
        <v>57</v>
      </c>
      <c r="AA270" s="4">
        <v>12</v>
      </c>
      <c r="AB270" s="4">
        <f>ROUND(I270*(1-AA270/100),-1)</f>
        <v>2160</v>
      </c>
      <c r="AC270" s="4">
        <f t="shared" si="4"/>
        <v>2450</v>
      </c>
      <c r="AD270" s="4">
        <v>10</v>
      </c>
      <c r="AE270" s="4">
        <v>15</v>
      </c>
      <c r="AF270" s="4">
        <v>9</v>
      </c>
      <c r="AG270" s="4">
        <v>41</v>
      </c>
      <c r="AH270" s="4">
        <v>300</v>
      </c>
      <c r="AI270" s="4">
        <f>ROUND(300*I270*(1+AE270/100+AF270/100),0)</f>
        <v>911400</v>
      </c>
      <c r="AJ270" s="4">
        <v>4.2</v>
      </c>
      <c r="AK270" s="4">
        <v>710</v>
      </c>
      <c r="AL270" s="4" t="s">
        <v>58</v>
      </c>
      <c r="AM270" s="4" t="s">
        <v>59</v>
      </c>
    </row>
    <row r="271" spans="1:39" ht="228">
      <c r="A271" s="4" t="s">
        <v>2227</v>
      </c>
      <c r="B271" s="4" t="s">
        <v>2228</v>
      </c>
      <c r="C271" s="4" t="s">
        <v>72</v>
      </c>
      <c r="D271" s="4" t="s">
        <v>2229</v>
      </c>
      <c r="E271" s="4" t="s">
        <v>2230</v>
      </c>
      <c r="F271" s="4" t="s">
        <v>75</v>
      </c>
      <c r="G271" s="4" t="s">
        <v>2231</v>
      </c>
      <c r="H271" s="4" t="s">
        <v>2232</v>
      </c>
      <c r="I271" s="4">
        <v>2600</v>
      </c>
      <c r="J271" s="4">
        <v>3250</v>
      </c>
      <c r="K271" s="4">
        <v>4550</v>
      </c>
      <c r="L271" s="4">
        <v>600</v>
      </c>
      <c r="M271" s="4" t="s">
        <v>48</v>
      </c>
      <c r="N271" s="4" t="s">
        <v>40</v>
      </c>
      <c r="O271" s="4" t="s">
        <v>50</v>
      </c>
      <c r="P271" s="4">
        <v>140</v>
      </c>
      <c r="Q271" s="4" t="s">
        <v>2233</v>
      </c>
      <c r="R271" s="4" t="s">
        <v>2234</v>
      </c>
      <c r="S271" s="4" t="s">
        <v>50</v>
      </c>
      <c r="T271" s="4" t="s">
        <v>50</v>
      </c>
      <c r="U271" s="4" t="s">
        <v>50</v>
      </c>
      <c r="V271" s="4" t="s">
        <v>2235</v>
      </c>
      <c r="W271" s="4" t="s">
        <v>54</v>
      </c>
      <c r="X271" s="4" t="s">
        <v>55</v>
      </c>
      <c r="Y271" s="4" t="s">
        <v>130</v>
      </c>
      <c r="Z271" s="4" t="s">
        <v>57</v>
      </c>
      <c r="AA271" s="4">
        <v>12</v>
      </c>
      <c r="AB271" s="4">
        <f>ROUND(I271*(1-AA271/100),-1)</f>
        <v>2290</v>
      </c>
      <c r="AC271" s="4">
        <f t="shared" si="4"/>
        <v>2600</v>
      </c>
      <c r="AD271" s="4">
        <v>18</v>
      </c>
      <c r="AE271" s="4">
        <v>15</v>
      </c>
      <c r="AF271" s="4">
        <v>7</v>
      </c>
      <c r="AG271" s="4">
        <v>42</v>
      </c>
      <c r="AH271" s="4">
        <v>225</v>
      </c>
      <c r="AI271" s="4">
        <f>ROUND(300*I271*(1+AE271/100+AF271/100),0)</f>
        <v>951600</v>
      </c>
      <c r="AJ271" s="4">
        <v>4.7</v>
      </c>
      <c r="AK271" s="4">
        <v>596</v>
      </c>
      <c r="AL271" s="4" t="s">
        <v>58</v>
      </c>
      <c r="AM271" s="4" t="s">
        <v>59</v>
      </c>
    </row>
    <row r="272" spans="1:39" ht="228">
      <c r="A272" s="4" t="s">
        <v>2236</v>
      </c>
      <c r="B272" s="4" t="s">
        <v>2237</v>
      </c>
      <c r="C272" s="4" t="s">
        <v>72</v>
      </c>
      <c r="D272" s="4" t="s">
        <v>2238</v>
      </c>
      <c r="E272" s="4" t="s">
        <v>2239</v>
      </c>
      <c r="F272" s="4" t="s">
        <v>163</v>
      </c>
      <c r="G272" s="4" t="s">
        <v>2240</v>
      </c>
      <c r="H272" s="4" t="s">
        <v>2241</v>
      </c>
      <c r="I272" s="4">
        <v>2300</v>
      </c>
      <c r="J272" s="4">
        <v>3000</v>
      </c>
      <c r="K272" s="4">
        <v>4400</v>
      </c>
      <c r="L272" s="4">
        <v>600</v>
      </c>
      <c r="M272" s="4" t="s">
        <v>48</v>
      </c>
      <c r="N272" s="4" t="s">
        <v>40</v>
      </c>
      <c r="O272" s="4" t="s">
        <v>50</v>
      </c>
      <c r="P272" s="4">
        <v>135</v>
      </c>
      <c r="Q272" s="4" t="s">
        <v>346</v>
      </c>
      <c r="R272" s="4" t="s">
        <v>2242</v>
      </c>
      <c r="S272" s="4" t="s">
        <v>50</v>
      </c>
      <c r="T272" s="4" t="s">
        <v>50</v>
      </c>
      <c r="U272" s="4" t="s">
        <v>50</v>
      </c>
      <c r="V272" s="4" t="s">
        <v>296</v>
      </c>
      <c r="W272" s="4" t="s">
        <v>54</v>
      </c>
      <c r="X272" s="4" t="s">
        <v>55</v>
      </c>
      <c r="Y272" s="4" t="s">
        <v>169</v>
      </c>
      <c r="Z272" s="4" t="s">
        <v>57</v>
      </c>
      <c r="AA272" s="4">
        <v>7</v>
      </c>
      <c r="AB272" s="4">
        <f>ROUND(I272*(1-AA272/100),-1)</f>
        <v>2140</v>
      </c>
      <c r="AC272" s="4">
        <f t="shared" si="4"/>
        <v>2300</v>
      </c>
      <c r="AD272" s="4">
        <v>12</v>
      </c>
      <c r="AE272" s="4">
        <v>15</v>
      </c>
      <c r="AF272" s="4">
        <v>8</v>
      </c>
      <c r="AG272" s="4">
        <v>33</v>
      </c>
      <c r="AH272" s="4">
        <v>225</v>
      </c>
      <c r="AI272" s="4">
        <f>ROUND(300*I272*(1+AE272/100+AF272/100),0)</f>
        <v>848700</v>
      </c>
      <c r="AJ272" s="4">
        <v>3.9</v>
      </c>
      <c r="AK272" s="4">
        <v>764</v>
      </c>
      <c r="AL272" s="4" t="s">
        <v>111</v>
      </c>
      <c r="AM272" s="4" t="s">
        <v>59</v>
      </c>
    </row>
    <row r="273" spans="1:39" ht="228">
      <c r="A273" s="4" t="s">
        <v>2243</v>
      </c>
      <c r="B273" s="4" t="s">
        <v>2244</v>
      </c>
      <c r="C273" s="4" t="s">
        <v>72</v>
      </c>
      <c r="D273" s="4" t="s">
        <v>2245</v>
      </c>
      <c r="E273" s="4" t="s">
        <v>2246</v>
      </c>
      <c r="F273" s="4" t="s">
        <v>75</v>
      </c>
      <c r="G273" s="4" t="s">
        <v>2247</v>
      </c>
      <c r="H273" s="4" t="s">
        <v>2248</v>
      </c>
      <c r="I273" s="4">
        <v>2300</v>
      </c>
      <c r="J273" s="4">
        <v>3250</v>
      </c>
      <c r="K273" s="4">
        <v>5050</v>
      </c>
      <c r="L273" s="4">
        <v>500</v>
      </c>
      <c r="M273" s="4" t="s">
        <v>48</v>
      </c>
      <c r="N273" s="4" t="s">
        <v>40</v>
      </c>
      <c r="O273" s="4" t="s">
        <v>50</v>
      </c>
      <c r="P273" s="4">
        <v>100</v>
      </c>
      <c r="Q273" s="4" t="s">
        <v>2249</v>
      </c>
      <c r="R273" s="4" t="s">
        <v>2250</v>
      </c>
      <c r="S273" s="4" t="s">
        <v>50</v>
      </c>
      <c r="T273" s="4" t="s">
        <v>50</v>
      </c>
      <c r="U273" s="4" t="s">
        <v>50</v>
      </c>
      <c r="V273" s="4" t="s">
        <v>206</v>
      </c>
      <c r="W273" s="4" t="s">
        <v>54</v>
      </c>
      <c r="X273" s="4" t="s">
        <v>55</v>
      </c>
      <c r="Y273" s="4" t="s">
        <v>69</v>
      </c>
      <c r="Z273" s="4" t="s">
        <v>57</v>
      </c>
      <c r="AA273" s="4">
        <v>11</v>
      </c>
      <c r="AB273" s="4">
        <f>ROUND(I273*(1-AA273/100),-1)</f>
        <v>2050</v>
      </c>
      <c r="AC273" s="4">
        <f t="shared" si="4"/>
        <v>2300</v>
      </c>
      <c r="AD273" s="4">
        <v>22</v>
      </c>
      <c r="AE273" s="4">
        <v>15</v>
      </c>
      <c r="AF273" s="4">
        <v>9</v>
      </c>
      <c r="AG273" s="4">
        <v>32</v>
      </c>
      <c r="AH273" s="4">
        <v>175</v>
      </c>
      <c r="AI273" s="4">
        <f>ROUND(300*I273*(1+AE273/100+AF273/100),0)</f>
        <v>855600</v>
      </c>
      <c r="AJ273" s="4">
        <v>4.4000000000000004</v>
      </c>
      <c r="AK273" s="4">
        <v>52</v>
      </c>
      <c r="AL273" s="4" t="s">
        <v>111</v>
      </c>
      <c r="AM273" s="4" t="s">
        <v>59</v>
      </c>
    </row>
    <row r="274" spans="1:39" ht="228">
      <c r="A274" s="4" t="s">
        <v>2251</v>
      </c>
      <c r="B274" s="4" t="s">
        <v>2252</v>
      </c>
      <c r="C274" s="4" t="s">
        <v>94</v>
      </c>
      <c r="D274" s="4" t="s">
        <v>2253</v>
      </c>
      <c r="E274" s="4" t="s">
        <v>2254</v>
      </c>
      <c r="F274" s="4" t="s">
        <v>163</v>
      </c>
      <c r="G274" s="4" t="s">
        <v>2255</v>
      </c>
      <c r="H274" s="4" t="s">
        <v>2256</v>
      </c>
      <c r="I274" s="4">
        <v>2000</v>
      </c>
      <c r="J274" s="4">
        <v>2800</v>
      </c>
      <c r="K274" s="4">
        <v>4400</v>
      </c>
      <c r="L274" s="4">
        <v>500</v>
      </c>
      <c r="M274" s="4" t="s">
        <v>48</v>
      </c>
      <c r="N274" s="4" t="s">
        <v>40</v>
      </c>
      <c r="O274" s="4" t="s">
        <v>50</v>
      </c>
      <c r="P274" s="4">
        <v>125</v>
      </c>
      <c r="Q274" s="4" t="s">
        <v>1279</v>
      </c>
      <c r="R274" s="4" t="s">
        <v>2257</v>
      </c>
      <c r="S274" s="4" t="s">
        <v>50</v>
      </c>
      <c r="T274" s="4" t="s">
        <v>50</v>
      </c>
      <c r="U274" s="4" t="s">
        <v>50</v>
      </c>
      <c r="V274" s="4" t="s">
        <v>178</v>
      </c>
      <c r="W274" s="4" t="s">
        <v>54</v>
      </c>
      <c r="X274" s="4" t="s">
        <v>55</v>
      </c>
      <c r="Y274" s="4" t="s">
        <v>169</v>
      </c>
      <c r="Z274" s="4" t="s">
        <v>70</v>
      </c>
      <c r="AA274" s="4">
        <v>11</v>
      </c>
      <c r="AB274" s="4">
        <f>ROUND(I274*(1-AA274/100),-1)</f>
        <v>1780</v>
      </c>
      <c r="AC274" s="4">
        <f t="shared" si="4"/>
        <v>2000</v>
      </c>
      <c r="AD274" s="4">
        <v>16</v>
      </c>
      <c r="AE274" s="4">
        <v>15</v>
      </c>
      <c r="AF274" s="4">
        <v>6</v>
      </c>
      <c r="AG274" s="4">
        <v>31</v>
      </c>
      <c r="AH274" s="4">
        <v>200</v>
      </c>
      <c r="AI274" s="4">
        <f>ROUND(300*I274*(1+AE274/100+AF274/100),0)</f>
        <v>726000</v>
      </c>
      <c r="AJ274" s="4">
        <v>4.5999999999999996</v>
      </c>
      <c r="AK274" s="4">
        <v>584</v>
      </c>
      <c r="AL274" s="4" t="s">
        <v>111</v>
      </c>
      <c r="AM274" s="4" t="s">
        <v>59</v>
      </c>
    </row>
  </sheetData>
  <conditionalFormatting sqref="I2:K274">
    <cfRule type="colorScale" priority="1">
      <colorScale>
        <cfvo type="min"/>
        <cfvo type="percentile" val="50"/>
        <cfvo type="max"/>
        <color rgb="FFE8F5E9"/>
        <color rgb="FFFFF8E1"/>
        <color rgb="FFFFEBEE"/>
      </colorScale>
    </cfRule>
  </conditionalFormatting>
  <conditionalFormatting sqref="AJ2:AJ274">
    <cfRule type="dataBar" priority="2">
      <dataBar>
        <cfvo type="min"/>
        <cfvo type="max"/>
        <color rgb="FF5B9BD5"/>
      </dataBar>
    </cfRule>
  </conditionalFormatting>
  <conditionalFormatting sqref="AK2:AK274">
    <cfRule type="dataBar" priority="3">
      <dataBar>
        <cfvo type="min"/>
        <cfvo type="max"/>
        <color rgb="FF70AD47"/>
      </dataBar>
    </cfRule>
  </conditionalFormatting>
  <conditionalFormatting sqref="AJ2:AJ274">
    <cfRule type="dataBar" priority="4">
      <dataBar>
        <cfvo type="min"/>
        <cfvo type="max"/>
        <color rgb="FF5B9BD5"/>
      </dataBar>
      <extLst>
        <ext xmlns:x14="http://schemas.microsoft.com/office/spreadsheetml/2009/9/main" uri="{B025F937-C7B1-47D3-B67F-A62EFF666E3E}">
          <x14:id>{135AFB94-B15D-17FF-1924-690C07F1B71D}</x14:id>
        </ext>
      </extLst>
    </cfRule>
  </conditionalFormatting>
  <conditionalFormatting sqref="AK2:AK274">
    <cfRule type="dataBar" priority="5">
      <dataBar>
        <cfvo type="min"/>
        <cfvo type="max"/>
        <color rgb="FF70AD47"/>
      </dataBar>
      <extLst>
        <ext xmlns:x14="http://schemas.microsoft.com/office/spreadsheetml/2009/9/main" uri="{B025F937-C7B1-47D3-B67F-A62EFF666E3E}">
          <x14:id>{5846F02E-8DEA-E51C-71C5-F46B50C3DAD4}</x14:id>
        </ext>
      </extLst>
    </cfRule>
  </conditionalFormatting>
  <dataValidations count="2">
    <dataValidation type="list" sqref="O2:O274 S2:U274">
      <formula1>"yes,no"</formula1>
    </dataValidation>
    <dataValidation type="list" sqref="Z2:Z274">
      <formula1>"Budget,Standard,Premium,Luxury"</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35AFB94-B15D-17FF-1924-690C07F1B71D}">
            <x14:dataBar>
              <x14:cfvo type="min"/>
              <x14:cfvo type="max"/>
              <x14:negativeFillColor auto="1"/>
              <x14:axisColor auto="1"/>
            </x14:dataBar>
          </x14:cfRule>
          <xm:sqref>AJ2:AJ274</xm:sqref>
        </x14:conditionalFormatting>
        <x14:conditionalFormatting xmlns:xm="http://schemas.microsoft.com/office/excel/2006/main">
          <x14:cfRule type="dataBar" id="{5846F02E-8DEA-E51C-71C5-F46B50C3DAD4}">
            <x14:dataBar>
              <x14:cfvo type="min"/>
              <x14:cfvo type="max"/>
              <x14:negativeFillColor auto="1"/>
              <x14:axisColor auto="1"/>
            </x14:dataBar>
          </x14:cfRule>
          <xm:sqref>AK2:AK274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heetViews>
  <sheetFormatPr defaultRowHeight="14.25"/>
  <cols>
    <col min="1" max="1" width="36" customWidth="1"/>
    <col min="2" max="2" width="90" customWidth="1"/>
  </cols>
  <sheetData>
    <row r="1" spans="1:2" ht="15">
      <c r="A1" s="1" t="s">
        <v>2258</v>
      </c>
      <c r="B1" s="1" t="s">
        <v>2259</v>
      </c>
    </row>
    <row r="2" spans="1:2">
      <c r="A2" s="2" t="s">
        <v>2260</v>
      </c>
      <c r="B2" s="2">
        <v>273</v>
      </c>
    </row>
    <row r="3" spans="1:2">
      <c r="A3" s="2" t="s">
        <v>2261</v>
      </c>
      <c r="B3" s="2">
        <v>40</v>
      </c>
    </row>
    <row r="4" spans="1:2">
      <c r="A4" s="2" t="s">
        <v>2262</v>
      </c>
      <c r="B4" s="2">
        <v>24</v>
      </c>
    </row>
    <row r="5" spans="1:2" ht="57">
      <c r="A5" s="2" t="s">
        <v>2263</v>
      </c>
      <c r="B5" s="2" t="s">
        <v>2264</v>
      </c>
    </row>
    <row r="6" spans="1:2">
      <c r="A6" s="2" t="s">
        <v>2265</v>
      </c>
      <c r="B6" s="2">
        <v>273</v>
      </c>
    </row>
    <row r="7" spans="1:2" ht="28.5">
      <c r="A7" s="2" t="s">
        <v>2266</v>
      </c>
      <c r="B7" s="2">
        <v>225</v>
      </c>
    </row>
    <row r="8" spans="1:2">
      <c r="A8" s="2" t="s">
        <v>2267</v>
      </c>
      <c r="B8" s="2">
        <v>201</v>
      </c>
    </row>
    <row r="9" spans="1:2">
      <c r="A9" s="2" t="s">
        <v>2268</v>
      </c>
      <c r="B9" s="2">
        <v>247</v>
      </c>
    </row>
    <row r="10" spans="1:2">
      <c r="A10" s="2" t="s">
        <v>2269</v>
      </c>
      <c r="B10" s="2">
        <v>0</v>
      </c>
    </row>
    <row r="11" spans="1:2">
      <c r="A11" s="2" t="s">
        <v>2270</v>
      </c>
      <c r="B11" s="2">
        <v>1400</v>
      </c>
    </row>
    <row r="12" spans="1:2">
      <c r="A12" s="2" t="s">
        <v>2271</v>
      </c>
      <c r="B12" s="2">
        <v>3000</v>
      </c>
    </row>
    <row r="13" spans="1:2">
      <c r="A13" s="2" t="s">
        <v>2272</v>
      </c>
      <c r="B13" s="2">
        <v>2124.1799999999998</v>
      </c>
    </row>
    <row r="14" spans="1:2">
      <c r="A14" s="2" t="s">
        <v>2273</v>
      </c>
      <c r="B14" s="2">
        <v>1900</v>
      </c>
    </row>
    <row r="15" spans="1:2">
      <c r="A15" s="2" t="s">
        <v>2274</v>
      </c>
      <c r="B15" s="2">
        <v>3750</v>
      </c>
    </row>
    <row r="16" spans="1:2">
      <c r="A16" s="2" t="s">
        <v>2275</v>
      </c>
      <c r="B16" s="2">
        <v>2828.21</v>
      </c>
    </row>
    <row r="17" spans="1:2">
      <c r="A17" s="2" t="s">
        <v>2276</v>
      </c>
      <c r="B17" s="2">
        <v>2850</v>
      </c>
    </row>
    <row r="18" spans="1:2">
      <c r="A18" s="2" t="s">
        <v>2277</v>
      </c>
      <c r="B18" s="2">
        <v>5650</v>
      </c>
    </row>
    <row r="19" spans="1:2">
      <c r="A19" s="2" t="s">
        <v>2278</v>
      </c>
      <c r="B19" s="2">
        <v>4328.75</v>
      </c>
    </row>
    <row r="20" spans="1:2">
      <c r="A20" s="2" t="s">
        <v>2279</v>
      </c>
      <c r="B20" s="2">
        <v>250</v>
      </c>
    </row>
    <row r="21" spans="1:2">
      <c r="A21" s="2" t="s">
        <v>2280</v>
      </c>
      <c r="B21" s="2">
        <v>1075</v>
      </c>
    </row>
    <row r="22" spans="1:2">
      <c r="A22" s="2" t="s">
        <v>2281</v>
      </c>
      <c r="B22" s="2">
        <v>582.33000000000004</v>
      </c>
    </row>
    <row r="23" spans="1:2">
      <c r="A23" s="2" t="s">
        <v>2282</v>
      </c>
      <c r="B23" s="2">
        <v>55</v>
      </c>
    </row>
    <row r="24" spans="1:2">
      <c r="A24" s="2" t="s">
        <v>2283</v>
      </c>
      <c r="B24" s="2">
        <v>300</v>
      </c>
    </row>
    <row r="25" spans="1:2">
      <c r="A25" s="2" t="s">
        <v>2284</v>
      </c>
      <c r="B25" s="2">
        <v>133.1</v>
      </c>
    </row>
    <row r="26" spans="1:2">
      <c r="A26" s="2" t="s">
        <v>2285</v>
      </c>
      <c r="B26" s="2" t="s">
        <v>54</v>
      </c>
    </row>
    <row r="27" spans="1:2">
      <c r="A27" s="2" t="s">
        <v>2286</v>
      </c>
      <c r="B27" s="2" t="s">
        <v>2287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sheetViews>
  <sheetFormatPr defaultRowHeight="14.25"/>
  <cols>
    <col min="1" max="1" width="28" customWidth="1"/>
    <col min="2" max="2" width="90" customWidth="1"/>
  </cols>
  <sheetData>
    <row r="1" spans="1:2" ht="15">
      <c r="A1" s="1" t="s">
        <v>2288</v>
      </c>
      <c r="B1" s="1" t="s">
        <v>2289</v>
      </c>
    </row>
    <row r="2" spans="1:2">
      <c r="A2" s="2" t="s">
        <v>0</v>
      </c>
      <c r="B2" s="2" t="s">
        <v>2290</v>
      </c>
    </row>
    <row r="3" spans="1:2">
      <c r="A3" s="2" t="s">
        <v>1</v>
      </c>
      <c r="B3" s="2" t="s">
        <v>2291</v>
      </c>
    </row>
    <row r="4" spans="1:2">
      <c r="A4" s="2" t="s">
        <v>2</v>
      </c>
      <c r="B4" s="2" t="s">
        <v>2292</v>
      </c>
    </row>
    <row r="5" spans="1:2">
      <c r="A5" s="2" t="s">
        <v>3</v>
      </c>
      <c r="B5" s="2" t="s">
        <v>2293</v>
      </c>
    </row>
    <row r="6" spans="1:2">
      <c r="A6" s="2" t="s">
        <v>4</v>
      </c>
      <c r="B6" s="2" t="s">
        <v>2294</v>
      </c>
    </row>
    <row r="7" spans="1:2">
      <c r="A7" s="2" t="s">
        <v>5</v>
      </c>
      <c r="B7" s="2" t="s">
        <v>2295</v>
      </c>
    </row>
    <row r="8" spans="1:2" ht="28.5">
      <c r="A8" s="2" t="s">
        <v>6</v>
      </c>
      <c r="B8" s="2" t="s">
        <v>2296</v>
      </c>
    </row>
    <row r="9" spans="1:2" ht="28.5">
      <c r="A9" s="2" t="s">
        <v>7</v>
      </c>
      <c r="B9" s="2" t="s">
        <v>2297</v>
      </c>
    </row>
    <row r="10" spans="1:2">
      <c r="A10" s="2" t="s">
        <v>8</v>
      </c>
      <c r="B10" s="2" t="s">
        <v>2298</v>
      </c>
    </row>
    <row r="11" spans="1:2">
      <c r="A11" s="2" t="s">
        <v>9</v>
      </c>
      <c r="B11" s="2" t="s">
        <v>2299</v>
      </c>
    </row>
    <row r="12" spans="1:2">
      <c r="A12" s="2" t="s">
        <v>10</v>
      </c>
      <c r="B12" s="2" t="s">
        <v>2300</v>
      </c>
    </row>
    <row r="13" spans="1:2">
      <c r="A13" s="2" t="s">
        <v>11</v>
      </c>
      <c r="B13" s="2" t="s">
        <v>2301</v>
      </c>
    </row>
    <row r="14" spans="1:2">
      <c r="A14" s="2" t="s">
        <v>12</v>
      </c>
      <c r="B14" s="2" t="s">
        <v>2302</v>
      </c>
    </row>
    <row r="15" spans="1:2">
      <c r="A15" s="2" t="s">
        <v>13</v>
      </c>
      <c r="B15" s="2" t="s">
        <v>2303</v>
      </c>
    </row>
    <row r="16" spans="1:2">
      <c r="A16" s="2" t="s">
        <v>14</v>
      </c>
      <c r="B16" s="2" t="s">
        <v>2304</v>
      </c>
    </row>
    <row r="17" spans="1:2">
      <c r="A17" s="2" t="s">
        <v>15</v>
      </c>
      <c r="B17" s="2" t="s">
        <v>2305</v>
      </c>
    </row>
    <row r="18" spans="1:2">
      <c r="A18" s="2" t="s">
        <v>16</v>
      </c>
      <c r="B18" s="2" t="s">
        <v>2306</v>
      </c>
    </row>
    <row r="19" spans="1:2">
      <c r="A19" s="2" t="s">
        <v>17</v>
      </c>
      <c r="B19" s="2" t="s">
        <v>2307</v>
      </c>
    </row>
    <row r="20" spans="1:2">
      <c r="A20" s="2" t="s">
        <v>18</v>
      </c>
      <c r="B20" s="2" t="s">
        <v>2308</v>
      </c>
    </row>
    <row r="21" spans="1:2">
      <c r="A21" s="2" t="s">
        <v>19</v>
      </c>
      <c r="B21" s="2" t="s">
        <v>2309</v>
      </c>
    </row>
    <row r="22" spans="1:2">
      <c r="A22" s="2" t="s">
        <v>20</v>
      </c>
      <c r="B22" s="2" t="s">
        <v>2310</v>
      </c>
    </row>
    <row r="23" spans="1:2">
      <c r="A23" s="2" t="s">
        <v>21</v>
      </c>
      <c r="B23" s="2" t="s">
        <v>2311</v>
      </c>
    </row>
    <row r="24" spans="1:2">
      <c r="A24" s="2" t="s">
        <v>22</v>
      </c>
      <c r="B24" s="2" t="s">
        <v>2312</v>
      </c>
    </row>
    <row r="25" spans="1:2">
      <c r="A25" s="2" t="s">
        <v>23</v>
      </c>
      <c r="B25" s="2" t="s">
        <v>2313</v>
      </c>
    </row>
    <row r="26" spans="1:2">
      <c r="A26" s="2" t="s">
        <v>24</v>
      </c>
      <c r="B26" s="2" t="s">
        <v>2314</v>
      </c>
    </row>
    <row r="27" spans="1:2">
      <c r="A27" s="2" t="s">
        <v>25</v>
      </c>
      <c r="B27" s="2" t="s">
        <v>2315</v>
      </c>
    </row>
    <row r="28" spans="1:2">
      <c r="A28" s="2" t="s">
        <v>26</v>
      </c>
      <c r="B28" s="2" t="s">
        <v>2316</v>
      </c>
    </row>
    <row r="29" spans="1:2">
      <c r="A29" s="2" t="s">
        <v>27</v>
      </c>
      <c r="B29" s="2" t="s">
        <v>2317</v>
      </c>
    </row>
    <row r="30" spans="1:2">
      <c r="A30" s="2" t="s">
        <v>28</v>
      </c>
      <c r="B30" s="2" t="s">
        <v>2318</v>
      </c>
    </row>
    <row r="31" spans="1:2">
      <c r="A31" s="2" t="s">
        <v>29</v>
      </c>
      <c r="B31" s="2" t="s">
        <v>2319</v>
      </c>
    </row>
    <row r="32" spans="1:2">
      <c r="A32" s="2" t="s">
        <v>30</v>
      </c>
      <c r="B32" s="2" t="s">
        <v>2320</v>
      </c>
    </row>
    <row r="33" spans="1:2">
      <c r="A33" s="2" t="s">
        <v>31</v>
      </c>
      <c r="B33" s="2" t="s">
        <v>2321</v>
      </c>
    </row>
    <row r="34" spans="1:2">
      <c r="A34" s="2" t="s">
        <v>32</v>
      </c>
      <c r="B34" s="2" t="s">
        <v>2322</v>
      </c>
    </row>
    <row r="35" spans="1:2">
      <c r="A35" s="2" t="s">
        <v>33</v>
      </c>
      <c r="B35" s="2" t="s">
        <v>2323</v>
      </c>
    </row>
    <row r="36" spans="1:2">
      <c r="A36" s="2" t="s">
        <v>34</v>
      </c>
      <c r="B36" s="2" t="s">
        <v>2324</v>
      </c>
    </row>
    <row r="37" spans="1:2">
      <c r="A37" s="2" t="s">
        <v>35</v>
      </c>
      <c r="B37" s="2" t="s">
        <v>2325</v>
      </c>
    </row>
    <row r="38" spans="1:2">
      <c r="A38" s="2" t="s">
        <v>36</v>
      </c>
      <c r="B38" s="2" t="s">
        <v>2326</v>
      </c>
    </row>
    <row r="39" spans="1:2">
      <c r="A39" s="2" t="s">
        <v>37</v>
      </c>
      <c r="B39" s="2" t="s">
        <v>2327</v>
      </c>
    </row>
    <row r="40" spans="1:2">
      <c r="A40" s="2" t="s">
        <v>38</v>
      </c>
      <c r="B40" s="2" t="s">
        <v>2328</v>
      </c>
    </row>
    <row r="41" spans="1:2">
      <c r="A41" s="2" t="s">
        <v>39</v>
      </c>
      <c r="B41" s="2" t="s">
        <v>2329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25"/>
  <cols>
    <col min="1" max="1" width="24" customWidth="1"/>
    <col min="2" max="2" width="82" customWidth="1"/>
    <col min="3" max="3" width="28" customWidth="1"/>
  </cols>
  <sheetData>
    <row r="1" spans="1:3" ht="15">
      <c r="A1" s="1" t="s">
        <v>2330</v>
      </c>
      <c r="B1" s="1" t="s">
        <v>2331</v>
      </c>
      <c r="C1" s="1" t="s">
        <v>2332</v>
      </c>
    </row>
    <row r="2" spans="1:3">
      <c r="A2" s="2" t="s">
        <v>2333</v>
      </c>
      <c r="B2" s="2" t="s">
        <v>2334</v>
      </c>
      <c r="C2" s="2">
        <v>273</v>
      </c>
    </row>
    <row r="3" spans="1:3">
      <c r="A3" s="2" t="s">
        <v>2335</v>
      </c>
      <c r="B3" s="2" t="s">
        <v>2336</v>
      </c>
      <c r="C3" s="2">
        <v>273</v>
      </c>
    </row>
    <row r="4" spans="1:3">
      <c r="A4" s="2" t="s">
        <v>2337</v>
      </c>
      <c r="B4" s="2" t="s">
        <v>2338</v>
      </c>
      <c r="C4" s="2">
        <v>273</v>
      </c>
    </row>
    <row r="5" spans="1:3">
      <c r="A5" s="2" t="s">
        <v>2339</v>
      </c>
      <c r="B5" s="2" t="s">
        <v>2340</v>
      </c>
      <c r="C5" s="2">
        <v>273</v>
      </c>
    </row>
    <row r="6" spans="1:3">
      <c r="A6" s="2" t="s">
        <v>2341</v>
      </c>
      <c r="B6" s="2" t="s">
        <v>2342</v>
      </c>
      <c r="C6" s="2">
        <v>225</v>
      </c>
    </row>
    <row r="7" spans="1:3">
      <c r="A7" s="2" t="s">
        <v>2343</v>
      </c>
      <c r="B7" s="2" t="s">
        <v>2344</v>
      </c>
      <c r="C7" s="2">
        <v>201</v>
      </c>
    </row>
    <row r="8" spans="1:3">
      <c r="A8" s="2" t="s">
        <v>2345</v>
      </c>
      <c r="B8" s="2" t="s">
        <v>2346</v>
      </c>
      <c r="C8" s="2">
        <v>247</v>
      </c>
    </row>
    <row r="9" spans="1:3" ht="28.5">
      <c r="A9" s="2" t="s">
        <v>2347</v>
      </c>
      <c r="B9" s="2" t="s">
        <v>2348</v>
      </c>
      <c r="C9" s="2">
        <v>16</v>
      </c>
    </row>
    <row r="10" spans="1:3" ht="28.5">
      <c r="A10" s="2" t="s">
        <v>2349</v>
      </c>
      <c r="B10" s="2" t="s">
        <v>2350</v>
      </c>
      <c r="C10" s="2" t="s">
        <v>2351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Quality_Report</vt:lpstr>
      <vt:lpstr>Data_Dictionary</vt:lpstr>
      <vt:lpstr>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2026-05-10T06:42:05Z</dcterms:modified>
</cp:coreProperties>
</file>